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30"/>
  <workbookPr/>
  <mc:AlternateContent xmlns:mc="http://schemas.openxmlformats.org/markup-compatibility/2006">
    <mc:Choice Requires="x15">
      <x15ac:absPath xmlns:x15ac="http://schemas.microsoft.com/office/spreadsheetml/2010/11/ac" url="/Users/kiacovino/PythonGit/volcanic-gas-modeling-tool-comparison/Manuscript/Supplement/"/>
    </mc:Choice>
  </mc:AlternateContent>
  <xr:revisionPtr revIDLastSave="0" documentId="13_ncr:1_{C9A68312-4DDE-B74C-86D6-F67E6CAA4651}" xr6:coauthVersionLast="47" xr6:coauthVersionMax="47" xr10:uidLastSave="{00000000-0000-0000-0000-000000000000}"/>
  <bookViews>
    <workbookView xWindow="8320" yWindow="620" windowWidth="51840" windowHeight="29960" xr2:uid="{00000000-000D-0000-FFFF-FFFF00000000}"/>
  </bookViews>
  <sheets>
    <sheet name="Kīlauea_data" sheetId="4" r:id="rId1"/>
    <sheet name="Ulu_data" sheetId="13" r:id="rId2"/>
    <sheet name="Lerner_Kil_data" sheetId="12" r:id="rId3"/>
    <sheet name="MORB_data" sheetId="5" r:id="rId4"/>
    <sheet name="Fuego_data" sheetId="6" r:id="rId5"/>
    <sheet name="Fogo_data" sheetId="7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3" l="1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2" i="13"/>
  <c r="R2" i="13"/>
  <c r="R3" i="13"/>
  <c r="R4" i="13"/>
  <c r="R5" i="13"/>
  <c r="R6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2" i="13"/>
  <c r="R53" i="13"/>
  <c r="R54" i="13"/>
  <c r="R55" i="13"/>
  <c r="R56" i="13"/>
  <c r="R57" i="13"/>
  <c r="R58" i="13"/>
  <c r="R59" i="13"/>
  <c r="R60" i="13"/>
  <c r="R61" i="13"/>
  <c r="R62" i="13"/>
  <c r="R63" i="13"/>
  <c r="R64" i="13"/>
  <c r="R65" i="13"/>
  <c r="R66" i="13"/>
  <c r="R67" i="13"/>
  <c r="R68" i="13"/>
  <c r="R69" i="13"/>
  <c r="R70" i="13"/>
  <c r="R71" i="13"/>
  <c r="R72" i="13"/>
  <c r="R73" i="13"/>
  <c r="R74" i="13"/>
  <c r="R75" i="13"/>
  <c r="R76" i="13"/>
  <c r="R77" i="13"/>
  <c r="R78" i="13"/>
  <c r="R79" i="13"/>
  <c r="R80" i="13"/>
  <c r="R81" i="13"/>
  <c r="R82" i="13"/>
  <c r="R83" i="13"/>
  <c r="R84" i="13"/>
  <c r="R85" i="13"/>
  <c r="R86" i="13"/>
  <c r="R87" i="13"/>
  <c r="R88" i="13"/>
  <c r="R89" i="13"/>
  <c r="R90" i="13"/>
  <c r="R91" i="13"/>
  <c r="R92" i="13"/>
  <c r="R93" i="13"/>
  <c r="R94" i="13"/>
  <c r="R95" i="13"/>
  <c r="R96" i="13"/>
  <c r="R97" i="13"/>
  <c r="R98" i="13"/>
  <c r="R99" i="13"/>
  <c r="R100" i="13"/>
  <c r="R101" i="13"/>
  <c r="R102" i="13"/>
  <c r="R103" i="13"/>
  <c r="R104" i="13"/>
  <c r="R105" i="13"/>
  <c r="R106" i="13"/>
  <c r="R107" i="13"/>
  <c r="R108" i="13"/>
  <c r="R109" i="13"/>
  <c r="R110" i="13"/>
  <c r="R111" i="13"/>
  <c r="R112" i="13"/>
  <c r="R113" i="13"/>
  <c r="R114" i="13"/>
  <c r="R115" i="13"/>
  <c r="R116" i="13"/>
  <c r="R117" i="13"/>
  <c r="R118" i="13"/>
  <c r="R119" i="13"/>
  <c r="R120" i="13"/>
  <c r="R121" i="13"/>
  <c r="R122" i="13"/>
  <c r="R123" i="13"/>
  <c r="R124" i="13"/>
  <c r="R125" i="13"/>
  <c r="G79" i="7" l="1"/>
  <c r="H79" i="7"/>
  <c r="I79" i="7"/>
  <c r="J79" i="7"/>
  <c r="K79" i="7"/>
  <c r="L79" i="7"/>
  <c r="M79" i="7"/>
  <c r="N79" i="7"/>
  <c r="O79" i="7"/>
  <c r="P79" i="7"/>
  <c r="Q79" i="7"/>
  <c r="R79" i="7"/>
  <c r="S79" i="7"/>
  <c r="F79" i="7"/>
</calcChain>
</file>

<file path=xl/sharedStrings.xml><?xml version="1.0" encoding="utf-8"?>
<sst xmlns="http://schemas.openxmlformats.org/spreadsheetml/2006/main" count="1361" uniqueCount="651">
  <si>
    <t>Volcano</t>
  </si>
  <si>
    <t>Fuego</t>
  </si>
  <si>
    <t>Lloyd et al. (2013)</t>
  </si>
  <si>
    <t>N/A</t>
  </si>
  <si>
    <t>S_ppm</t>
  </si>
  <si>
    <t>Label</t>
  </si>
  <si>
    <t>SiO2</t>
  </si>
  <si>
    <t>TiO2</t>
  </si>
  <si>
    <t>Al2O3</t>
  </si>
  <si>
    <t>FeO</t>
  </si>
  <si>
    <t>Fe2O3</t>
  </si>
  <si>
    <t>MnO</t>
  </si>
  <si>
    <t>MgO</t>
  </si>
  <si>
    <t>CaO</t>
  </si>
  <si>
    <t>Na2O</t>
  </si>
  <si>
    <t>K2O</t>
  </si>
  <si>
    <t>P2O5</t>
  </si>
  <si>
    <t>CO2</t>
  </si>
  <si>
    <t>H2O</t>
  </si>
  <si>
    <t>Notes</t>
  </si>
  <si>
    <t>LLE_LL4_19b</t>
  </si>
  <si>
    <t>LLE_LL4_19c</t>
  </si>
  <si>
    <t>LLE_LL4_33b</t>
  </si>
  <si>
    <t>LLE_LL4_30</t>
  </si>
  <si>
    <t>LLD_LL4_14_a</t>
  </si>
  <si>
    <t>LLD_LL4_14_d</t>
  </si>
  <si>
    <t>LLD_LL4_14_c</t>
  </si>
  <si>
    <t>LLD_LL4_14_b</t>
  </si>
  <si>
    <t>LLD_LL4_20</t>
  </si>
  <si>
    <t>LLD_LL4_31b</t>
  </si>
  <si>
    <t>LLD_LL4_31a</t>
  </si>
  <si>
    <t>LLD_LL4_32b</t>
  </si>
  <si>
    <t>LLD_LL4_32a</t>
  </si>
  <si>
    <t>LLE_LL4_34a</t>
  </si>
  <si>
    <t>LLE_LL4_34b</t>
  </si>
  <si>
    <t>LLg_LL4_17_A</t>
  </si>
  <si>
    <t>LLg_LL4_17_C1</t>
  </si>
  <si>
    <t>LLg_LL4_17_C2</t>
  </si>
  <si>
    <t>LLg_LL4_24a</t>
  </si>
  <si>
    <t>LLg_LL4_24b</t>
  </si>
  <si>
    <t>LL4_4B</t>
  </si>
  <si>
    <t>LL4_25_A</t>
  </si>
  <si>
    <t>LL4_25_B</t>
  </si>
  <si>
    <t>LL4_2</t>
  </si>
  <si>
    <t>LL4_3</t>
  </si>
  <si>
    <t>LL4_12</t>
  </si>
  <si>
    <t>LL4_10</t>
  </si>
  <si>
    <t>LL4_9</t>
  </si>
  <si>
    <t>LL4_8</t>
  </si>
  <si>
    <t>LL4_23</t>
  </si>
  <si>
    <t>LL4_39c</t>
  </si>
  <si>
    <t>LL4_39b</t>
  </si>
  <si>
    <t>LL4_18b</t>
  </si>
  <si>
    <t>LL4_13</t>
  </si>
  <si>
    <t>LL4_39a</t>
  </si>
  <si>
    <t>LL4_18a</t>
  </si>
  <si>
    <t>LLf_LL7_110a</t>
  </si>
  <si>
    <t>LLf_LL7_110b</t>
  </si>
  <si>
    <t>LLf_LL7_105a</t>
  </si>
  <si>
    <t>LLF_LL7_105b</t>
  </si>
  <si>
    <t>LLf_LL7_107</t>
  </si>
  <si>
    <t>LLf_LL7_272</t>
  </si>
  <si>
    <t>LLG_LL7_270</t>
  </si>
  <si>
    <t>LLg_LL7_204</t>
  </si>
  <si>
    <t>LLg_LL7_106b</t>
  </si>
  <si>
    <t>LL7_115_A</t>
  </si>
  <si>
    <t>LL7_115_B</t>
  </si>
  <si>
    <t>LL7_114</t>
  </si>
  <si>
    <t>LL7_111_A</t>
  </si>
  <si>
    <t>LL7_108</t>
  </si>
  <si>
    <t>LL7_203</t>
  </si>
  <si>
    <t>LL7_248</t>
  </si>
  <si>
    <t>LL7_287</t>
  </si>
  <si>
    <t>LL7_290_C</t>
  </si>
  <si>
    <t>LL7_290_B</t>
  </si>
  <si>
    <t>LL7_111_B</t>
  </si>
  <si>
    <t>LL7_116</t>
  </si>
  <si>
    <t>LL7_282</t>
  </si>
  <si>
    <t>LL7_205b</t>
  </si>
  <si>
    <t>LL7_118</t>
  </si>
  <si>
    <t>LL7_128</t>
  </si>
  <si>
    <t>LL7_275_a_nosims</t>
  </si>
  <si>
    <t>LL7_275_b_nosims</t>
  </si>
  <si>
    <t>LLF_LL8_249a</t>
  </si>
  <si>
    <t>LLf_LL8_249b</t>
  </si>
  <si>
    <t>LLf_LL8_249c</t>
  </si>
  <si>
    <t>LLf_LL8_249d</t>
  </si>
  <si>
    <t>LLG_LL8_402a</t>
  </si>
  <si>
    <t>LLg_LL8_402b</t>
  </si>
  <si>
    <t>LLG_LL8_447</t>
  </si>
  <si>
    <t>LLg_LL8_3001</t>
  </si>
  <si>
    <t>LL8_435</t>
  </si>
  <si>
    <t>LL8_613b</t>
  </si>
  <si>
    <t>LL8_615</t>
  </si>
  <si>
    <t>LL8_617_a</t>
  </si>
  <si>
    <t>LL8_623_b</t>
  </si>
  <si>
    <t>LL8_623_c</t>
  </si>
  <si>
    <t>LL8_626</t>
  </si>
  <si>
    <t>LL8_404_a</t>
  </si>
  <si>
    <t>LL8_404_b</t>
  </si>
  <si>
    <t>LL8_610</t>
  </si>
  <si>
    <t>LL8_612_a</t>
  </si>
  <si>
    <t>LL8_612_b</t>
  </si>
  <si>
    <t>LL8_613_a</t>
  </si>
  <si>
    <t>LL8_617_b</t>
  </si>
  <si>
    <t>LL8_624</t>
  </si>
  <si>
    <t>LL8_630</t>
  </si>
  <si>
    <t>LL8_631a</t>
  </si>
  <si>
    <t>LL8_616_b</t>
  </si>
  <si>
    <t>LL8_202_c</t>
  </si>
  <si>
    <t>LL8_243_b</t>
  </si>
  <si>
    <t>LL8_156</t>
  </si>
  <si>
    <t>LL8_155b</t>
  </si>
  <si>
    <t>LL8_406</t>
  </si>
  <si>
    <t>LL8_302</t>
  </si>
  <si>
    <t>LL8_611</t>
  </si>
  <si>
    <t>LL8_616_a</t>
  </si>
  <si>
    <t>LL8_634</t>
  </si>
  <si>
    <t>LL8_606</t>
  </si>
  <si>
    <t>LL8_202_a</t>
  </si>
  <si>
    <t>LL8_202_b</t>
  </si>
  <si>
    <t>LL8_426</t>
  </si>
  <si>
    <t>LL8_401</t>
  </si>
  <si>
    <t>LL8_400_b</t>
  </si>
  <si>
    <t>LL8_400_a</t>
  </si>
  <si>
    <t>LL8_280</t>
  </si>
  <si>
    <t>LL8_300R</t>
  </si>
  <si>
    <t>LL8_232</t>
  </si>
  <si>
    <t>LL8_155_c</t>
  </si>
  <si>
    <t>LL8_301</t>
  </si>
  <si>
    <t>LL8_405_nosims</t>
  </si>
  <si>
    <t>LL8_403_nosims</t>
  </si>
  <si>
    <t>Sample</t>
  </si>
  <si>
    <t>Saturation pressure (bar)</t>
  </si>
  <si>
    <t>SiO2 (wt%)</t>
  </si>
  <si>
    <t>TiO2 (wt%)</t>
  </si>
  <si>
    <t>Al2O3 (wt%)</t>
  </si>
  <si>
    <t>FeOT (wt%)</t>
  </si>
  <si>
    <t>MnO (wt%)</t>
  </si>
  <si>
    <t>MgO (wt%)</t>
  </si>
  <si>
    <t>CaO (wt%)</t>
  </si>
  <si>
    <t>Na2O (wt%)</t>
  </si>
  <si>
    <t>K2O (wt%)</t>
  </si>
  <si>
    <t>P2O5 (wt%)</t>
  </si>
  <si>
    <t>H2OT (wt%)</t>
  </si>
  <si>
    <t>CO2 (ppm)</t>
  </si>
  <si>
    <t>ST (ppm)</t>
  </si>
  <si>
    <t>Fe3/FeT</t>
  </si>
  <si>
    <t>VG5848</t>
  </si>
  <si>
    <t>VG5842</t>
  </si>
  <si>
    <t>VG5844</t>
  </si>
  <si>
    <t>VG5845</t>
  </si>
  <si>
    <t>VG5851</t>
  </si>
  <si>
    <t>VG5846</t>
  </si>
  <si>
    <t>VG962</t>
  </si>
  <si>
    <t>VG1666</t>
  </si>
  <si>
    <t>VG1665</t>
  </si>
  <si>
    <t>RC2806-16D-5g</t>
  </si>
  <si>
    <t>VG3403</t>
  </si>
  <si>
    <t>RC2806-16D-1g</t>
  </si>
  <si>
    <t>RC2806-16D-4g</t>
  </si>
  <si>
    <t>RC2806-16D-6g</t>
  </si>
  <si>
    <t>VG9277</t>
  </si>
  <si>
    <t>VG3385</t>
  </si>
  <si>
    <t>VG7298</t>
  </si>
  <si>
    <t>VG9960</t>
  </si>
  <si>
    <t>2≈ì√ÑD43</t>
  </si>
  <si>
    <t>RC2806-44D-1g</t>
  </si>
  <si>
    <t>VG7301</t>
  </si>
  <si>
    <t>VG7038</t>
  </si>
  <si>
    <t>RC2806-1D-1g</t>
  </si>
  <si>
    <t>VG5494</t>
  </si>
  <si>
    <t>RC2806-36D-1g</t>
  </si>
  <si>
    <t>VG7299</t>
  </si>
  <si>
    <t>VG5490</t>
  </si>
  <si>
    <t>RC2806-59D-1g</t>
  </si>
  <si>
    <t>RC2806-56D-3g</t>
  </si>
  <si>
    <t>VG9966</t>
  </si>
  <si>
    <t>RC2806-35D-2g</t>
  </si>
  <si>
    <t>RC2806-55D-3g</t>
  </si>
  <si>
    <t>RC2806-48D-9g</t>
  </si>
  <si>
    <t>RC2806-35D-8g</t>
  </si>
  <si>
    <t>VG7039</t>
  </si>
  <si>
    <t>RC2806-13D-3g</t>
  </si>
  <si>
    <t>RC2806-26D-1g</t>
  </si>
  <si>
    <t>RC2806-41D-1g</t>
  </si>
  <si>
    <t>RC2806-54D-1g</t>
  </si>
  <si>
    <t>VG2524</t>
  </si>
  <si>
    <t>RC2806-16D-2g</t>
  </si>
  <si>
    <t>RC2806-18D-1g</t>
  </si>
  <si>
    <t>RC2806-18D-2g</t>
  </si>
  <si>
    <t>RC2806-26D-6g</t>
  </si>
  <si>
    <t>RC2806-18D-3g</t>
  </si>
  <si>
    <t>RC2806-37D-1g</t>
  </si>
  <si>
    <t>RC2806-42D-7g</t>
  </si>
  <si>
    <t>VG6925</t>
  </si>
  <si>
    <t>RC2806-34D-2g</t>
  </si>
  <si>
    <t>RC2806-34D-1g</t>
  </si>
  <si>
    <t>RC2806-16D-10g</t>
  </si>
  <si>
    <t>RC2806-28D-1Ag</t>
  </si>
  <si>
    <t>RC2806-3D-2g</t>
  </si>
  <si>
    <t>RC2806-5D-1g</t>
  </si>
  <si>
    <t>RC2806-25D-2g</t>
  </si>
  <si>
    <t>RC2806-40D-9g</t>
  </si>
  <si>
    <t>U1440B 12R2 67-69</t>
  </si>
  <si>
    <t>12aD1</t>
  </si>
  <si>
    <t>14D3</t>
  </si>
  <si>
    <t>14D4</t>
  </si>
  <si>
    <t>02D6</t>
  </si>
  <si>
    <t>17D1</t>
  </si>
  <si>
    <t>22D1</t>
  </si>
  <si>
    <t>33aD1</t>
  </si>
  <si>
    <t>49D5</t>
  </si>
  <si>
    <t>59D1</t>
  </si>
  <si>
    <t>62D5</t>
  </si>
  <si>
    <t>67D6</t>
  </si>
  <si>
    <t>80D1</t>
  </si>
  <si>
    <t>92D1</t>
  </si>
  <si>
    <t>100D1</t>
  </si>
  <si>
    <t>103D4</t>
  </si>
  <si>
    <t>111D2</t>
  </si>
  <si>
    <t>112D1</t>
  </si>
  <si>
    <t>116D6</t>
  </si>
  <si>
    <t>117D4</t>
  </si>
  <si>
    <t>131D1</t>
  </si>
  <si>
    <t>136D2</t>
  </si>
  <si>
    <t>138D2</t>
  </si>
  <si>
    <t>146D1</t>
  </si>
  <si>
    <t>147D5</t>
  </si>
  <si>
    <t>147D6</t>
  </si>
  <si>
    <t>157D3</t>
  </si>
  <si>
    <t>160D4</t>
  </si>
  <si>
    <t>164D5</t>
  </si>
  <si>
    <t>VG6979</t>
  </si>
  <si>
    <t>34II-S14-TVG14</t>
  </si>
  <si>
    <t>34I-S19-TVG07</t>
  </si>
  <si>
    <t>34I-S16-TVG04</t>
  </si>
  <si>
    <t>30III-S36-TVG20</t>
  </si>
  <si>
    <t>30III-S29-TVG13</t>
  </si>
  <si>
    <t>30III-S24-TVG11</t>
  </si>
  <si>
    <t>30II-S23-TVG06</t>
  </si>
  <si>
    <t>30I-S25-TVG06</t>
  </si>
  <si>
    <t>American Mineralogist: December 2020 Deposit AM-20-127377</t>
  </si>
  <si>
    <t>RASMUSSEN ET AL.: VAPOR-BUBBLES IN MELT INCLUSIONS</t>
  </si>
  <si>
    <t>Table 2. Melt inclusion data.</t>
  </si>
  <si>
    <t>Rehomogenized MI from Rasmussen et al. (2020)</t>
  </si>
  <si>
    <t>RESTORED COMPOSITIONS (in wt%, except where noted)</t>
  </si>
  <si>
    <t>MODELING RESULTS</t>
  </si>
  <si>
    <t>UNCERTAINTIES (in wt%, except where noted)</t>
  </si>
  <si>
    <t>RESULTS OF CO2 RECONSTRUCTION</t>
  </si>
  <si>
    <t>FINAL PRESSURE ESTIMATES</t>
  </si>
  <si>
    <t>MEASURED COMPOSITIONS (in wt%, except where noted)</t>
  </si>
  <si>
    <t>ANALYTICAL UNCERTAINTIESa</t>
  </si>
  <si>
    <t>MELT INCLUSION HOST COMPOSITIONS (in wt%, except where noted)</t>
  </si>
  <si>
    <t>MELT INCLUSION HOST COMPOSITION UNCERTAINTIES (in wt%, except where noted)</t>
  </si>
  <si>
    <t>MELT INCLUSION MORPHOLOGY</t>
  </si>
  <si>
    <t>HOST OLIVINE MORPHOLOGY</t>
  </si>
  <si>
    <t>Melt inclusion #</t>
  </si>
  <si>
    <t>Reference</t>
  </si>
  <si>
    <t>Experiment #</t>
  </si>
  <si>
    <t>EMP session</t>
  </si>
  <si>
    <t>Parent sample</t>
  </si>
  <si>
    <t>Fe3+/FeT</t>
  </si>
  <si>
    <t>1σ</t>
  </si>
  <si>
    <t>Cooling rate (°C/s)</t>
  </si>
  <si>
    <t>S (ppm)</t>
  </si>
  <si>
    <t>Cl (ppm)</t>
  </si>
  <si>
    <t>Sum</t>
  </si>
  <si>
    <t>Teqolv (°C)c</t>
  </si>
  <si>
    <t>Ti (°C)d</t>
  </si>
  <si>
    <t>Tc CO2 (°C)e</t>
  </si>
  <si>
    <t>Tc MgO (°C)e</t>
  </si>
  <si>
    <t>Olv. Add. (wt% olivine)</t>
  </si>
  <si>
    <t>KDFe-Mg (no units)</t>
  </si>
  <si>
    <t>P (MPa)f</t>
  </si>
  <si>
    <t>D (km)g</t>
  </si>
  <si>
    <t>Teqolv (°C)</t>
  </si>
  <si>
    <t>Ti (°C)</t>
  </si>
  <si>
    <t>Tc CO2 (°C)</t>
  </si>
  <si>
    <t>P (MPa)</t>
  </si>
  <si>
    <t>D (km)</t>
  </si>
  <si>
    <t>VB vol % rikerh</t>
  </si>
  <si>
    <t>VB vol% vbgi</t>
  </si>
  <si>
    <t>CO2 ramanj (ppm)</t>
  </si>
  <si>
    <t>CO2 obs. vol.k (ppm)</t>
  </si>
  <si>
    <t>CO2 riker (ppm)</t>
  </si>
  <si>
    <t>CO2 vbg (ppm)</t>
  </si>
  <si>
    <t>P obs. vol. (MPa)</t>
  </si>
  <si>
    <t>P riker (MPa)</t>
  </si>
  <si>
    <t>P vbg (MPa)</t>
  </si>
  <si>
    <t>D obs. vol. (km)</t>
  </si>
  <si>
    <t>D riker (km)</t>
  </si>
  <si>
    <t>D vbg (km)</t>
  </si>
  <si>
    <t>H2Ocor (wt.%)l</t>
  </si>
  <si>
    <t>FeOT</t>
  </si>
  <si>
    <t>Na2Om</t>
  </si>
  <si>
    <t>Sstd (ppm)n</t>
  </si>
  <si>
    <t>Scor (ppm)o</t>
  </si>
  <si>
    <t>Sstd (ppm)</t>
  </si>
  <si>
    <t>Scor (ppm)</t>
  </si>
  <si>
    <t>Fo (mol.%)</t>
  </si>
  <si>
    <t>Shape</t>
  </si>
  <si>
    <t>Type</t>
  </si>
  <si>
    <t>Color</t>
  </si>
  <si>
    <t>Texture</t>
  </si>
  <si>
    <t>Long dim. (µm)</t>
  </si>
  <si>
    <t>Short dim. (µm)</t>
  </si>
  <si>
    <t>Crystal Incl.</t>
  </si>
  <si>
    <t>No. vapor bubbles</t>
  </si>
  <si>
    <t>VB Diam.</t>
  </si>
  <si>
    <t>VB vol.%</t>
  </si>
  <si>
    <t>Morphology</t>
  </si>
  <si>
    <t>Other MI</t>
  </si>
  <si>
    <t>FR01MI04</t>
  </si>
  <si>
    <t>This study</t>
  </si>
  <si>
    <t>FR01</t>
  </si>
  <si>
    <t>Session 2</t>
  </si>
  <si>
    <t>VF-74-127</t>
  </si>
  <si>
    <t>Prolate spheroid</t>
  </si>
  <si>
    <t>F. encl.</t>
  </si>
  <si>
    <t>Dark brown</t>
  </si>
  <si>
    <t>Glassy</t>
  </si>
  <si>
    <t>Several</t>
  </si>
  <si>
    <t>FR02MI02</t>
  </si>
  <si>
    <t>FR02</t>
  </si>
  <si>
    <t>Session 3</t>
  </si>
  <si>
    <t>Light brown</t>
  </si>
  <si>
    <t>Euhedral</t>
  </si>
  <si>
    <t>V. few</t>
  </si>
  <si>
    <t>FR02MI03</t>
  </si>
  <si>
    <t>Light tan</t>
  </si>
  <si>
    <t>Subhedral</t>
  </si>
  <si>
    <t>FR02MI04</t>
  </si>
  <si>
    <t>Spheroid</t>
  </si>
  <si>
    <t>FR02MI05</t>
  </si>
  <si>
    <t>Oblong</t>
  </si>
  <si>
    <t>Anhedral</t>
  </si>
  <si>
    <t>None</t>
  </si>
  <si>
    <t>FR02MI06</t>
  </si>
  <si>
    <t>Brown</t>
  </si>
  <si>
    <t>FR02MI08</t>
  </si>
  <si>
    <t>FR02MI09</t>
  </si>
  <si>
    <t>Tan</t>
  </si>
  <si>
    <t>FR02MI10</t>
  </si>
  <si>
    <t>FR04MI01</t>
  </si>
  <si>
    <t>FR04</t>
  </si>
  <si>
    <t>VF-74-131</t>
  </si>
  <si>
    <t>FR04MI02</t>
  </si>
  <si>
    <t>FR04MI03</t>
  </si>
  <si>
    <t>FR04MI04</t>
  </si>
  <si>
    <t>Moderate</t>
  </si>
  <si>
    <t>FR04MI05</t>
  </si>
  <si>
    <t>FR04MI07</t>
  </si>
  <si>
    <t>B.D.</t>
  </si>
  <si>
    <t>FR04MI08</t>
  </si>
  <si>
    <t>FR06MI01</t>
  </si>
  <si>
    <t>FR06</t>
  </si>
  <si>
    <t>FR06MI02</t>
  </si>
  <si>
    <t>FR06MI04</t>
  </si>
  <si>
    <t>FR06MI05</t>
  </si>
  <si>
    <t>FR06MI06</t>
  </si>
  <si>
    <t>FR06MI07</t>
  </si>
  <si>
    <t>FR06MI08</t>
  </si>
  <si>
    <t>Previously published, unheated melt inclusions</t>
  </si>
  <si>
    <t>M-127-1</t>
  </si>
  <si>
    <t>M-127-5</t>
  </si>
  <si>
    <t>M-127-6</t>
  </si>
  <si>
    <t>M-127-7</t>
  </si>
  <si>
    <t>M-127-10</t>
  </si>
  <si>
    <t>M-131-3</t>
  </si>
  <si>
    <t>M-131-5</t>
  </si>
  <si>
    <t>M-131-6</t>
  </si>
  <si>
    <t>M-132-2</t>
  </si>
  <si>
    <t>VF-74-132</t>
  </si>
  <si>
    <t>M-132-3</t>
  </si>
  <si>
    <t>M-132-7</t>
  </si>
  <si>
    <t>M-132-10</t>
  </si>
  <si>
    <t>M-129-5</t>
  </si>
  <si>
    <t>VF-74-129</t>
  </si>
  <si>
    <t>M-129-6</t>
  </si>
  <si>
    <t>M-129-8</t>
  </si>
  <si>
    <t>M-129-15</t>
  </si>
  <si>
    <t>M-136-2-A</t>
  </si>
  <si>
    <t>VF-74-136</t>
  </si>
  <si>
    <t>M-136-5</t>
  </si>
  <si>
    <t>M-136-8</t>
  </si>
  <si>
    <t>M-136-9</t>
  </si>
  <si>
    <t>M-134D-2</t>
  </si>
  <si>
    <t>VF-74-134D</t>
  </si>
  <si>
    <t>M-134D-7</t>
  </si>
  <si>
    <t>M-134D-9</t>
  </si>
  <si>
    <t>M-134D-10</t>
  </si>
  <si>
    <t>M-134D-14</t>
  </si>
  <si>
    <t>M-137B-3</t>
  </si>
  <si>
    <t>VF-74-137B</t>
  </si>
  <si>
    <t>M-137B-5</t>
  </si>
  <si>
    <t>M-137B-8A</t>
  </si>
  <si>
    <t>M-137B-17</t>
  </si>
  <si>
    <t>134D-R-2</t>
  </si>
  <si>
    <t>VF-74-R-134D</t>
  </si>
  <si>
    <t>134D-R-3</t>
  </si>
  <si>
    <t>134D-R-4</t>
  </si>
  <si>
    <t>134D-R-6</t>
  </si>
  <si>
    <t>134D-R-7</t>
  </si>
  <si>
    <t>137B-R-1</t>
  </si>
  <si>
    <t>VF-74-R-137B</t>
  </si>
  <si>
    <t>137B-R-2</t>
  </si>
  <si>
    <t>137B-R-3</t>
  </si>
  <si>
    <t>137B-R-4</t>
  </si>
  <si>
    <t>137B-R-5</t>
  </si>
  <si>
    <t>fuego 11.1</t>
  </si>
  <si>
    <t>Moore et al. (2015)</t>
  </si>
  <si>
    <t>fuego 12.3</t>
  </si>
  <si>
    <t>fuego 15.1</t>
  </si>
  <si>
    <t>fuego 19.1</t>
  </si>
  <si>
    <t>fuego 5.3</t>
  </si>
  <si>
    <t>fuego 9.2</t>
  </si>
  <si>
    <t>VF-127-9p</t>
  </si>
  <si>
    <t>Newcombe et al. (2020)</t>
  </si>
  <si>
    <t>VF-131-4p</t>
  </si>
  <si>
    <t>FuegoNL-2p</t>
  </si>
  <si>
    <t>FuegoNL-3Ap</t>
  </si>
  <si>
    <t>VF-74-128</t>
  </si>
  <si>
    <t>FuegoNL-3Bp</t>
  </si>
  <si>
    <t>FuegoNL-4p</t>
  </si>
  <si>
    <t>VF-74-130</t>
  </si>
  <si>
    <t>FuegoNL-5p</t>
  </si>
  <si>
    <t>FuegoNL-6Bp</t>
  </si>
  <si>
    <t>FuegoNL-6Cp</t>
  </si>
  <si>
    <t>VF-74-133</t>
  </si>
  <si>
    <t>FuegoNL-7p</t>
  </si>
  <si>
    <t>VF-74-134</t>
  </si>
  <si>
    <t>VF-137B-10p</t>
  </si>
  <si>
    <t>VF-137B-10_smallp</t>
  </si>
  <si>
    <t>VF137B-16Ap</t>
  </si>
  <si>
    <t>VF-137B-16Bp</t>
  </si>
  <si>
    <t>VF134D-1p</t>
  </si>
  <si>
    <t>VF134D-15p</t>
  </si>
  <si>
    <t>VF136-6p</t>
  </si>
  <si>
    <t>Eruption ID</t>
  </si>
  <si>
    <t>Eruption.Xtal</t>
  </si>
  <si>
    <t>EruptionXtal.MI</t>
  </si>
  <si>
    <t>Sample ID</t>
  </si>
  <si>
    <t>PEC (%)</t>
  </si>
  <si>
    <t>SiO2_Liq</t>
  </si>
  <si>
    <t>TiO2_Liq</t>
  </si>
  <si>
    <t>Al2O3_Liq</t>
  </si>
  <si>
    <t>Fe2O3_Liq</t>
  </si>
  <si>
    <t>FeO_Liq</t>
  </si>
  <si>
    <t>FeOt_Liq</t>
  </si>
  <si>
    <t>MnO_Liq</t>
  </si>
  <si>
    <t>MgO_Liq</t>
  </si>
  <si>
    <t>CaO_Liq</t>
  </si>
  <si>
    <t>Na2O_Liq</t>
  </si>
  <si>
    <t>K2O_Liq</t>
  </si>
  <si>
    <t>P2O5_Liq</t>
  </si>
  <si>
    <t>H2O_Liq</t>
  </si>
  <si>
    <t>CO2_Liq</t>
  </si>
  <si>
    <t>F (ppm)</t>
  </si>
  <si>
    <t>F_Liq</t>
  </si>
  <si>
    <t>S_Liq</t>
  </si>
  <si>
    <t>Cl_Liq</t>
  </si>
  <si>
    <t>CO2 (2SIG ER)</t>
  </si>
  <si>
    <t>H2O (2SIG ER)</t>
  </si>
  <si>
    <t>F (2SIG ER)</t>
  </si>
  <si>
    <t>S (2SIG ER)</t>
  </si>
  <si>
    <t>Cl (2SIG ER)</t>
  </si>
  <si>
    <t>Total (vol free)_PEC</t>
  </si>
  <si>
    <t>Total (+vols)_PEC</t>
  </si>
  <si>
    <t>DNNO fo2</t>
  </si>
  <si>
    <t>FG04</t>
  </si>
  <si>
    <t>FG04-1-MI1</t>
  </si>
  <si>
    <t>FG04-3-MI1</t>
  </si>
  <si>
    <t>FG04-4-MI2</t>
  </si>
  <si>
    <t>FG04-5-MI1</t>
  </si>
  <si>
    <t>FG04-5-MI2</t>
  </si>
  <si>
    <t>FG04-6-MI5</t>
  </si>
  <si>
    <t>FG04-9-MI1</t>
  </si>
  <si>
    <t>FG04-11-MI1</t>
  </si>
  <si>
    <t>FG04-12-MI1</t>
  </si>
  <si>
    <t>FG04-13-MI6</t>
  </si>
  <si>
    <t>FG04-15-MI2</t>
  </si>
  <si>
    <t>FG04-17-MI1</t>
  </si>
  <si>
    <t>FG04-20-MI4</t>
  </si>
  <si>
    <t>FG04-20-MI5</t>
  </si>
  <si>
    <t>FG04-21-MI1</t>
  </si>
  <si>
    <t>FG04-24-MI3</t>
  </si>
  <si>
    <t>FG04-25-MI1</t>
  </si>
  <si>
    <t>FG04-26-MI1</t>
  </si>
  <si>
    <t>FG04-27-MI2</t>
  </si>
  <si>
    <t>FG04-29-MI1</t>
  </si>
  <si>
    <t>FG04-30-MI1</t>
  </si>
  <si>
    <t>FG04-31-MI3</t>
  </si>
  <si>
    <t>FG04-35-MI3*</t>
  </si>
  <si>
    <t>FG04-35-MI4</t>
  </si>
  <si>
    <t>FG04-36-MI1*</t>
  </si>
  <si>
    <t>FG04-38-MI3*</t>
  </si>
  <si>
    <t>FG04-41-MI1</t>
  </si>
  <si>
    <t>FG04-42-MI1</t>
  </si>
  <si>
    <t>FG04-44-MI2*</t>
  </si>
  <si>
    <t>FG04-45-MI5</t>
  </si>
  <si>
    <t>FG04-47-MI2</t>
  </si>
  <si>
    <t>FG04-47-MI3</t>
  </si>
  <si>
    <t>FG04-48-MI2</t>
  </si>
  <si>
    <t>FG04-48-MI3</t>
  </si>
  <si>
    <t>FG04-50-MI2</t>
  </si>
  <si>
    <t>FG04-51-MI1</t>
  </si>
  <si>
    <t>FG04-52-MI1</t>
  </si>
  <si>
    <t>FG04-53-MI1</t>
  </si>
  <si>
    <t>FG04-54-MI1</t>
  </si>
  <si>
    <t>FG04-57-MI1</t>
  </si>
  <si>
    <t>FG04-58-MI1</t>
  </si>
  <si>
    <t>FG04-59-MI1</t>
  </si>
  <si>
    <t>FG04-60-MI1</t>
  </si>
  <si>
    <t>FG04-61-MI1*</t>
  </si>
  <si>
    <t>FG18</t>
  </si>
  <si>
    <t>FG18-1-MI2</t>
  </si>
  <si>
    <t>FG18-2-MI1</t>
  </si>
  <si>
    <t>FG18-3-MI3</t>
  </si>
  <si>
    <t>FG18-4-MI2</t>
  </si>
  <si>
    <t>1804.X</t>
  </si>
  <si>
    <t>FG18-4-MIX**</t>
  </si>
  <si>
    <t>FG18-5-MI1</t>
  </si>
  <si>
    <t>FG18-6-MI1</t>
  </si>
  <si>
    <t>FG18-7-MI2</t>
  </si>
  <si>
    <t>FG18-8-MI1</t>
  </si>
  <si>
    <t>FG18-9-MI1</t>
  </si>
  <si>
    <t>FG18-10-MI5</t>
  </si>
  <si>
    <t>FG18-11-MI1</t>
  </si>
  <si>
    <t>FG18-11-MI2</t>
  </si>
  <si>
    <t>FG18-11-MI3</t>
  </si>
  <si>
    <t>FG18-13-MI1</t>
  </si>
  <si>
    <t>FG18-13-MI2</t>
  </si>
  <si>
    <t>FG18-14-MI2</t>
  </si>
  <si>
    <t>FG18-16-MI1</t>
  </si>
  <si>
    <t>FG18-17-MI2</t>
  </si>
  <si>
    <t>FG18-19-MI1</t>
  </si>
  <si>
    <t>FG18-21-MI1</t>
  </si>
  <si>
    <t>FG18-22-MI1</t>
  </si>
  <si>
    <t>FG18-29-MI1</t>
  </si>
  <si>
    <t>FG18-32-MI1</t>
  </si>
  <si>
    <t>FG18-34-MI1</t>
  </si>
  <si>
    <t>FG19</t>
  </si>
  <si>
    <t>FG19-15-MI1</t>
  </si>
  <si>
    <t>FG19-18-MI3</t>
  </si>
  <si>
    <t>FG19-19-MI1</t>
  </si>
  <si>
    <t>FG19-25-MI2</t>
  </si>
  <si>
    <t>FG19-30-MI1</t>
  </si>
  <si>
    <t>FG19-31-MI1</t>
  </si>
  <si>
    <t>FG19-33-MI2</t>
  </si>
  <si>
    <t>FG19-8-MI2</t>
  </si>
  <si>
    <t>FeOt</t>
  </si>
  <si>
    <r>
      <t>SiO</t>
    </r>
    <r>
      <rPr>
        <i/>
        <vertAlign val="subscript"/>
        <sz val="8"/>
        <rFont val="Arial"/>
        <family val="2"/>
        <scheme val="minor"/>
      </rPr>
      <t>2</t>
    </r>
    <r>
      <rPr>
        <i/>
        <sz val="8"/>
        <rFont val="Arial"/>
        <family val="2"/>
        <scheme val="minor"/>
      </rPr>
      <t xml:space="preserve"> (1SE)</t>
    </r>
  </si>
  <si>
    <r>
      <t>TiO</t>
    </r>
    <r>
      <rPr>
        <i/>
        <vertAlign val="subscript"/>
        <sz val="8"/>
        <rFont val="Arial"/>
        <family val="2"/>
        <scheme val="minor"/>
      </rPr>
      <t>2</t>
    </r>
    <r>
      <rPr>
        <i/>
        <sz val="8"/>
        <rFont val="Arial"/>
        <family val="2"/>
        <scheme val="minor"/>
      </rPr>
      <t xml:space="preserve"> (1SE)</t>
    </r>
  </si>
  <si>
    <r>
      <t>Al</t>
    </r>
    <r>
      <rPr>
        <i/>
        <vertAlign val="subscript"/>
        <sz val="8"/>
        <rFont val="Arial"/>
        <family val="2"/>
        <scheme val="minor"/>
      </rPr>
      <t>2</t>
    </r>
    <r>
      <rPr>
        <i/>
        <sz val="8"/>
        <rFont val="Arial"/>
        <family val="2"/>
        <scheme val="minor"/>
      </rPr>
      <t>O</t>
    </r>
    <r>
      <rPr>
        <i/>
        <vertAlign val="subscript"/>
        <sz val="8"/>
        <rFont val="Arial"/>
        <family val="2"/>
        <scheme val="minor"/>
      </rPr>
      <t>3</t>
    </r>
    <r>
      <rPr>
        <i/>
        <sz val="8"/>
        <rFont val="Arial"/>
        <family val="2"/>
        <scheme val="minor"/>
      </rPr>
      <t xml:space="preserve"> (1SE)</t>
    </r>
  </si>
  <si>
    <r>
      <t>FeO</t>
    </r>
    <r>
      <rPr>
        <i/>
        <vertAlign val="superscript"/>
        <sz val="8"/>
        <rFont val="Arial"/>
        <family val="2"/>
        <scheme val="minor"/>
      </rPr>
      <t>T</t>
    </r>
    <r>
      <rPr>
        <i/>
        <sz val="8"/>
        <rFont val="Arial"/>
        <family val="2"/>
        <scheme val="minor"/>
      </rPr>
      <t xml:space="preserve"> (1SE)</t>
    </r>
  </si>
  <si>
    <t>MgO (1SE)</t>
  </si>
  <si>
    <t>MnO (1SE)</t>
  </si>
  <si>
    <t>CaO (1SE)</t>
  </si>
  <si>
    <r>
      <t>Na</t>
    </r>
    <r>
      <rPr>
        <i/>
        <vertAlign val="subscript"/>
        <sz val="8"/>
        <rFont val="Arial"/>
        <family val="2"/>
        <scheme val="minor"/>
      </rPr>
      <t>2</t>
    </r>
    <r>
      <rPr>
        <i/>
        <sz val="8"/>
        <rFont val="Arial"/>
        <family val="2"/>
        <scheme val="minor"/>
      </rPr>
      <t>O (1SE)</t>
    </r>
  </si>
  <si>
    <r>
      <t>K</t>
    </r>
    <r>
      <rPr>
        <i/>
        <vertAlign val="subscript"/>
        <sz val="8"/>
        <rFont val="Arial"/>
        <family val="2"/>
        <scheme val="minor"/>
      </rPr>
      <t>2</t>
    </r>
    <r>
      <rPr>
        <i/>
        <sz val="8"/>
        <rFont val="Arial"/>
        <family val="2"/>
        <scheme val="minor"/>
      </rPr>
      <t>O (1SE)</t>
    </r>
  </si>
  <si>
    <r>
      <t>P</t>
    </r>
    <r>
      <rPr>
        <i/>
        <vertAlign val="subscript"/>
        <sz val="8"/>
        <rFont val="Arial"/>
        <family val="2"/>
        <scheme val="minor"/>
      </rPr>
      <t>2</t>
    </r>
    <r>
      <rPr>
        <i/>
        <sz val="8"/>
        <rFont val="Arial"/>
        <family val="2"/>
        <scheme val="minor"/>
      </rPr>
      <t>O</t>
    </r>
    <r>
      <rPr>
        <i/>
        <vertAlign val="subscript"/>
        <sz val="8"/>
        <rFont val="Arial"/>
        <family val="2"/>
        <scheme val="minor"/>
      </rPr>
      <t>5</t>
    </r>
    <r>
      <rPr>
        <i/>
        <sz val="8"/>
        <rFont val="Arial"/>
        <family val="2"/>
        <scheme val="minor"/>
      </rPr>
      <t xml:space="preserve"> (1SE)</t>
    </r>
  </si>
  <si>
    <t>Analysis Name</t>
  </si>
  <si>
    <t>LB_6a</t>
  </si>
  <si>
    <t>LF8_3_MI_306, 307 avg</t>
  </si>
  <si>
    <t>LF8_4_MI_308, 309 avg</t>
  </si>
  <si>
    <t>LF8_11a_MI_310</t>
  </si>
  <si>
    <t>LF8_11c_MI_311</t>
  </si>
  <si>
    <t>LF8_11b_MI_312</t>
  </si>
  <si>
    <t>LF8_12a_MI_313</t>
  </si>
  <si>
    <t>LF8_12b_MI_314</t>
  </si>
  <si>
    <t>LF8_13a_MI_315</t>
  </si>
  <si>
    <t>LF8_13b_MI_316</t>
  </si>
  <si>
    <t>LF8_14_MI_317, 318 avg</t>
  </si>
  <si>
    <t>no PEC</t>
  </si>
  <si>
    <t>KE623293S_1_G01_55, 56 avg</t>
  </si>
  <si>
    <t>KE623293S_1_G02_57, 58 avg</t>
  </si>
  <si>
    <t>KE623293S_1_G02_59</t>
  </si>
  <si>
    <t>KE623293S_1_G03_61</t>
  </si>
  <si>
    <t>KE623293S_1_G03_62, 63 avg</t>
  </si>
  <si>
    <t>KE623293S_1_G04_68</t>
  </si>
  <si>
    <t>KE623293S_1_G05_71</t>
  </si>
  <si>
    <t>KE623293S_1_G05_72</t>
  </si>
  <si>
    <t>KE623293S_1_G06_73</t>
  </si>
  <si>
    <t>KE623293S_1_G06_74</t>
  </si>
  <si>
    <t>KE623293S_1_G06_75</t>
  </si>
  <si>
    <t>KE623293S_1_G08_80</t>
  </si>
  <si>
    <t>KE623293S_1_G08_81</t>
  </si>
  <si>
    <t>fsphost</t>
  </si>
  <si>
    <t>KE623293S_1_G09_83</t>
  </si>
  <si>
    <t>KE623293S_1_G09_85</t>
  </si>
  <si>
    <t>KE623293S_1_G11_87</t>
  </si>
  <si>
    <t>KE623293S_1_G11_89</t>
  </si>
  <si>
    <t>KE623293S_1_G11_90</t>
  </si>
  <si>
    <t>KE623293S_1_G11_91</t>
  </si>
  <si>
    <t>KE623293S_2_G04_92</t>
  </si>
  <si>
    <t>KE623293S_2_G04_93</t>
  </si>
  <si>
    <t>KE623293S_2_G04_94</t>
  </si>
  <si>
    <t>KE623293S_2_G04_95</t>
  </si>
  <si>
    <t>KE623293S_2_G04_96</t>
  </si>
  <si>
    <t>KE623293S_2_G05_97</t>
  </si>
  <si>
    <t>spinelhost</t>
  </si>
  <si>
    <t>KE623293S_2_G05_98</t>
  </si>
  <si>
    <t>KE623293S_2_G10_99</t>
  </si>
  <si>
    <t>KE623293S_2_G11_101</t>
  </si>
  <si>
    <t>cpxhost</t>
  </si>
  <si>
    <t>KE623293S_2_G13_102</t>
  </si>
  <si>
    <t>KE623293S_2_G18_103</t>
  </si>
  <si>
    <t>KE623293S_2_G18_104</t>
  </si>
  <si>
    <t>KE623293S_2_G23_107</t>
  </si>
  <si>
    <t>KE623293S_2_G23_108</t>
  </si>
  <si>
    <t>KE623293S_2_G02_109</t>
  </si>
  <si>
    <t>KE623293s_8_MI_256, 257 avg</t>
  </si>
  <si>
    <t>KE623293s_1a_MI_263</t>
  </si>
  <si>
    <t>KE623293s_1b_MI_264</t>
  </si>
  <si>
    <t>KE623293s_4a_MI_266, 267 avg</t>
  </si>
  <si>
    <t>KE623293s_4b_MI_268</t>
  </si>
  <si>
    <t>KE623293s_10_MI run2_287</t>
  </si>
  <si>
    <t>KE623293s_11_MIs_271</t>
  </si>
  <si>
    <t>KE623293s_11_MIs_272</t>
  </si>
  <si>
    <t>opxhost</t>
  </si>
  <si>
    <t>KE623293s_12_MIs_273</t>
  </si>
  <si>
    <t>KE623293s_12_MIs_274</t>
  </si>
  <si>
    <t>KE623293s_14_MI_275, 276 avg</t>
  </si>
  <si>
    <t>KE623293s_9a_MI_277</t>
  </si>
  <si>
    <t>KE623293s_9b_MI_278</t>
  </si>
  <si>
    <t>LB_mins_g12_MI01_465, 466 avg</t>
  </si>
  <si>
    <t>LB_mins_g17_MI01_471</t>
  </si>
  <si>
    <t>LB_1_MIs_pyrite 26 S peak_292, 293, 294, 142 avg</t>
  </si>
  <si>
    <t>LB_1b_pyrite 26 S peak_109</t>
  </si>
  <si>
    <t>LB_2_MI_pyrite26 S peak_299, 300 avg</t>
  </si>
  <si>
    <t>LB_3_MI_pyrite26 S peak_301, 302 avg</t>
  </si>
  <si>
    <t>LB_6.2_MI_pyrite26 S peak_303, 304 avg</t>
  </si>
  <si>
    <t>LB_6.3_MI_pyrite26 S peak_305</t>
  </si>
  <si>
    <t>KE623316F_2a_MI_239</t>
  </si>
  <si>
    <t>KE623316F_6_MI_241</t>
  </si>
  <si>
    <t>KE623316F_7_MI_246</t>
  </si>
  <si>
    <t>KE623316F_9_MI_249</t>
  </si>
  <si>
    <t>KE623316F_9b_MI_250</t>
  </si>
  <si>
    <t>KE623316F_11_MI_252</t>
  </si>
  <si>
    <t>KE623316F_12_MI_254</t>
  </si>
  <si>
    <t>KE623316F_14a_MI_256</t>
  </si>
  <si>
    <t>KE623316F_14b_MI_257</t>
  </si>
  <si>
    <t>KE623321F_4_MI_179</t>
  </si>
  <si>
    <t>LF8_mins_g21_MI01_448</t>
  </si>
  <si>
    <t>Cr2O3</t>
  </si>
  <si>
    <t>SO2</t>
  </si>
  <si>
    <t>Corr factor</t>
  </si>
  <si>
    <t>S_PEC</t>
  </si>
  <si>
    <t>MnO_uncorr</t>
  </si>
  <si>
    <t>Selected Composition (average of blue cells, highest H2O and 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</si>
</sst>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0"/>
      <name val="Arial"/>
    </font>
    <font>
      <i/>
      <sz val="11"/>
      <color theme="1"/>
      <name val="Calibri"/>
    </font>
    <font>
      <b/>
      <i/>
      <sz val="11"/>
      <color rgb="FF000000"/>
      <name val="Calibri"/>
    </font>
    <font>
      <i/>
      <sz val="8"/>
      <name val="Arial"/>
      <family val="2"/>
      <scheme val="minor"/>
    </font>
    <font>
      <sz val="9"/>
      <name val="Arial"/>
      <family val="2"/>
      <scheme val="minor"/>
    </font>
    <font>
      <i/>
      <vertAlign val="subscript"/>
      <sz val="8"/>
      <name val="Arial"/>
      <family val="2"/>
      <scheme val="minor"/>
    </font>
    <font>
      <i/>
      <vertAlign val="superscript"/>
      <sz val="8"/>
      <name val="Arial"/>
      <family val="2"/>
      <scheme val="minor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rgb="FF9C65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theme="0"/>
      <name val="Calibri"/>
      <family val="2"/>
    </font>
    <font>
      <b/>
      <sz val="10"/>
      <color theme="0"/>
      <name val="Arial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0" fontId="12" fillId="0" borderId="0" applyNumberFormat="0" applyFill="0" applyBorder="0" applyAlignment="0" applyProtection="0"/>
    <xf numFmtId="0" fontId="13" fillId="0" borderId="26" applyNumberFormat="0" applyFill="0" applyAlignment="0" applyProtection="0"/>
    <xf numFmtId="0" fontId="14" fillId="0" borderId="27" applyNumberFormat="0" applyFill="0" applyAlignment="0" applyProtection="0"/>
    <xf numFmtId="0" fontId="15" fillId="0" borderId="28" applyNumberFormat="0" applyFill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8" fillId="6" borderId="0" applyNumberFormat="0" applyBorder="0" applyAlignment="0" applyProtection="0"/>
    <xf numFmtId="0" fontId="19" fillId="7" borderId="29" applyNumberFormat="0" applyAlignment="0" applyProtection="0"/>
    <xf numFmtId="0" fontId="20" fillId="8" borderId="30" applyNumberFormat="0" applyAlignment="0" applyProtection="0"/>
    <xf numFmtId="0" fontId="21" fillId="8" borderId="29" applyNumberFormat="0" applyAlignment="0" applyProtection="0"/>
    <xf numFmtId="0" fontId="22" fillId="0" borderId="31" applyNumberFormat="0" applyFill="0" applyAlignment="0" applyProtection="0"/>
    <xf numFmtId="0" fontId="23" fillId="9" borderId="32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34" applyNumberFormat="0" applyFill="0" applyAlignment="0" applyProtection="0"/>
    <xf numFmtId="0" fontId="2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10" borderId="33" applyNumberFormat="0" applyFont="0" applyAlignment="0" applyProtection="0"/>
    <xf numFmtId="0" fontId="28" fillId="6" borderId="0" applyNumberFormat="0" applyBorder="0" applyAlignment="0" applyProtection="0"/>
    <xf numFmtId="0" fontId="27" fillId="14" borderId="0" applyNumberFormat="0" applyBorder="0" applyAlignment="0" applyProtection="0"/>
    <xf numFmtId="0" fontId="27" fillId="18" borderId="0" applyNumberFormat="0" applyBorder="0" applyAlignment="0" applyProtection="0"/>
    <xf numFmtId="0" fontId="27" fillId="22" borderId="0" applyNumberFormat="0" applyBorder="0" applyAlignment="0" applyProtection="0"/>
    <xf numFmtId="0" fontId="27" fillId="26" borderId="0" applyNumberFormat="0" applyBorder="0" applyAlignment="0" applyProtection="0"/>
    <xf numFmtId="0" fontId="27" fillId="30" borderId="0" applyNumberFormat="0" applyBorder="0" applyAlignment="0" applyProtection="0"/>
    <xf numFmtId="0" fontId="27" fillId="34" borderId="0" applyNumberFormat="0" applyBorder="0" applyAlignment="0" applyProtection="0"/>
    <xf numFmtId="0" fontId="31" fillId="0" borderId="0"/>
  </cellStyleXfs>
  <cellXfs count="8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11" fontId="3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2" fillId="0" borderId="1" xfId="0" applyFont="1" applyBorder="1"/>
    <xf numFmtId="0" fontId="4" fillId="0" borderId="2" xfId="0" applyFont="1" applyBorder="1"/>
    <xf numFmtId="0" fontId="2" fillId="0" borderId="2" xfId="0" applyFont="1" applyBorder="1"/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2" fillId="0" borderId="3" xfId="0" applyFont="1" applyBorder="1"/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2" fillId="0" borderId="4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2" fillId="0" borderId="6" xfId="0" applyFont="1" applyBorder="1"/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6" xfId="0" applyFont="1" applyBorder="1" applyAlignment="1">
      <alignment horizontal="left"/>
    </xf>
    <xf numFmtId="2" fontId="9" fillId="0" borderId="17" xfId="0" applyNumberFormat="1" applyFont="1" applyBorder="1" applyAlignment="1">
      <alignment horizontal="center"/>
    </xf>
    <xf numFmtId="2" fontId="9" fillId="0" borderId="18" xfId="0" applyNumberFormat="1" applyFont="1" applyBorder="1" applyAlignment="1">
      <alignment horizontal="center" vertical="center" wrapText="1"/>
    </xf>
    <xf numFmtId="2" fontId="8" fillId="0" borderId="19" xfId="0" applyNumberFormat="1" applyFont="1" applyBorder="1" applyAlignment="1">
      <alignment horizontal="center" vertical="center" wrapText="1"/>
    </xf>
    <xf numFmtId="2" fontId="9" fillId="0" borderId="19" xfId="0" applyNumberFormat="1" applyFont="1" applyBorder="1" applyAlignment="1">
      <alignment horizontal="center" vertical="center" wrapText="1"/>
    </xf>
    <xf numFmtId="2" fontId="9" fillId="0" borderId="20" xfId="0" applyNumberFormat="1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9" fillId="0" borderId="21" xfId="0" applyNumberFormat="1" applyFont="1" applyBorder="1" applyAlignment="1">
      <alignment horizontal="center" vertical="center"/>
    </xf>
    <xf numFmtId="2" fontId="8" fillId="0" borderId="22" xfId="0" applyNumberFormat="1" applyFont="1" applyBorder="1" applyAlignment="1">
      <alignment horizontal="center" vertical="center"/>
    </xf>
    <xf numFmtId="2" fontId="9" fillId="0" borderId="22" xfId="0" applyNumberFormat="1" applyFont="1" applyBorder="1" applyAlignment="1">
      <alignment horizontal="center" vertical="center"/>
    </xf>
    <xf numFmtId="2" fontId="9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0" fontId="9" fillId="0" borderId="2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9" fillId="35" borderId="0" xfId="0" applyFont="1" applyFill="1"/>
    <xf numFmtId="0" fontId="1" fillId="0" borderId="0" xfId="41"/>
    <xf numFmtId="0" fontId="7" fillId="0" borderId="0" xfId="0" applyFont="1"/>
    <xf numFmtId="0" fontId="0" fillId="0" borderId="0" xfId="0"/>
    <xf numFmtId="0" fontId="4" fillId="0" borderId="2" xfId="0" applyFont="1" applyBorder="1"/>
    <xf numFmtId="0" fontId="5" fillId="0" borderId="2" xfId="0" applyFont="1" applyBorder="1"/>
    <xf numFmtId="0" fontId="2" fillId="0" borderId="0" xfId="0" applyFont="1"/>
    <xf numFmtId="0" fontId="4" fillId="0" borderId="0" xfId="0" applyFont="1"/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4" fillId="0" borderId="2" xfId="0" applyFont="1" applyBorder="1" applyAlignment="1">
      <alignment horizontal="left"/>
    </xf>
    <xf numFmtId="0" fontId="0" fillId="0" borderId="0" xfId="0" applyFill="1"/>
    <xf numFmtId="0" fontId="2" fillId="0" borderId="0" xfId="0" applyFont="1" applyFill="1"/>
    <xf numFmtId="0" fontId="2" fillId="0" borderId="0" xfId="0" applyFont="1" applyFill="1" applyAlignment="1">
      <alignment horizontal="right"/>
    </xf>
    <xf numFmtId="0" fontId="32" fillId="0" borderId="0" xfId="0" applyFont="1" applyFill="1"/>
    <xf numFmtId="0" fontId="32" fillId="0" borderId="0" xfId="0" applyFont="1" applyFill="1" applyAlignment="1">
      <alignment horizontal="right"/>
    </xf>
    <xf numFmtId="0" fontId="1" fillId="0" borderId="0" xfId="41" applyFill="1" applyAlignment="1">
      <alignment wrapText="1"/>
    </xf>
    <xf numFmtId="0" fontId="29" fillId="0" borderId="0" xfId="0" applyFont="1" applyFill="1"/>
    <xf numFmtId="0" fontId="26" fillId="0" borderId="16" xfId="0" applyFont="1" applyFill="1" applyBorder="1" applyAlignment="1">
      <alignment wrapText="1"/>
    </xf>
    <xf numFmtId="0" fontId="1" fillId="0" borderId="0" xfId="41" applyFill="1"/>
    <xf numFmtId="2" fontId="29" fillId="0" borderId="0" xfId="0" applyNumberFormat="1" applyFont="1" applyFill="1"/>
    <xf numFmtId="2" fontId="0" fillId="0" borderId="0" xfId="0" applyNumberFormat="1" applyFill="1"/>
    <xf numFmtId="2" fontId="30" fillId="0" borderId="0" xfId="0" applyNumberFormat="1" applyFont="1" applyFill="1"/>
    <xf numFmtId="0" fontId="0" fillId="0" borderId="16" xfId="0" applyFill="1" applyBorder="1"/>
    <xf numFmtId="0" fontId="35" fillId="37" borderId="0" xfId="0" applyFont="1" applyFill="1"/>
    <xf numFmtId="0" fontId="36" fillId="0" borderId="0" xfId="0" applyFont="1" applyFill="1"/>
    <xf numFmtId="0" fontId="33" fillId="0" borderId="8" xfId="0" applyFont="1" applyBorder="1"/>
    <xf numFmtId="0" fontId="33" fillId="0" borderId="9" xfId="0" applyFont="1" applyBorder="1"/>
    <xf numFmtId="0" fontId="33" fillId="2" borderId="10" xfId="0" applyFont="1" applyFill="1" applyBorder="1" applyAlignment="1">
      <alignment horizontal="center"/>
    </xf>
    <xf numFmtId="0" fontId="34" fillId="3" borderId="11" xfId="0" applyFont="1" applyFill="1" applyBorder="1"/>
    <xf numFmtId="0" fontId="34" fillId="3" borderId="5" xfId="0" applyFont="1" applyFill="1" applyBorder="1" applyAlignment="1">
      <alignment horizontal="right"/>
    </xf>
    <xf numFmtId="0" fontId="34" fillId="3" borderId="5" xfId="0" applyFont="1" applyFill="1" applyBorder="1"/>
    <xf numFmtId="0" fontId="34" fillId="3" borderId="11" xfId="0" applyFont="1" applyFill="1" applyBorder="1" applyAlignment="1">
      <alignment horizontal="right"/>
    </xf>
    <xf numFmtId="0" fontId="33" fillId="3" borderId="5" xfId="0" applyFont="1" applyFill="1" applyBorder="1" applyAlignment="1">
      <alignment horizontal="right"/>
    </xf>
    <xf numFmtId="0" fontId="34" fillId="3" borderId="12" xfId="0" applyFont="1" applyFill="1" applyBorder="1" applyAlignment="1">
      <alignment horizontal="center"/>
    </xf>
    <xf numFmtId="0" fontId="33" fillId="3" borderId="5" xfId="0" applyFont="1" applyFill="1" applyBorder="1"/>
    <xf numFmtId="0" fontId="34" fillId="36" borderId="11" xfId="0" applyFont="1" applyFill="1" applyBorder="1"/>
    <xf numFmtId="0" fontId="34" fillId="36" borderId="5" xfId="0" applyFont="1" applyFill="1" applyBorder="1" applyAlignment="1">
      <alignment horizontal="right"/>
    </xf>
    <xf numFmtId="0" fontId="34" fillId="36" borderId="5" xfId="0" applyFont="1" applyFill="1" applyBorder="1"/>
    <xf numFmtId="0" fontId="34" fillId="36" borderId="11" xfId="0" applyFont="1" applyFill="1" applyBorder="1" applyAlignment="1">
      <alignment horizontal="right"/>
    </xf>
    <xf numFmtId="0" fontId="33" fillId="36" borderId="5" xfId="0" applyFont="1" applyFill="1" applyBorder="1" applyAlignment="1">
      <alignment horizontal="right"/>
    </xf>
    <xf numFmtId="0" fontId="34" fillId="36" borderId="12" xfId="0" applyFont="1" applyFill="1" applyBorder="1" applyAlignment="1">
      <alignment horizontal="center"/>
    </xf>
    <xf numFmtId="0" fontId="34" fillId="3" borderId="14" xfId="0" applyFont="1" applyFill="1" applyBorder="1"/>
    <xf numFmtId="0" fontId="34" fillId="3" borderId="15" xfId="0" applyFont="1" applyFill="1" applyBorder="1" applyAlignment="1">
      <alignment horizontal="right"/>
    </xf>
    <xf numFmtId="0" fontId="34" fillId="3" borderId="15" xfId="0" applyFont="1" applyFill="1" applyBorder="1"/>
    <xf numFmtId="0" fontId="34" fillId="3" borderId="14" xfId="0" applyFont="1" applyFill="1" applyBorder="1" applyAlignment="1">
      <alignment horizontal="right"/>
    </xf>
    <xf numFmtId="0" fontId="33" fillId="3" borderId="15" xfId="0" applyFont="1" applyFill="1" applyBorder="1" applyAlignment="1">
      <alignment horizontal="right"/>
    </xf>
    <xf numFmtId="0" fontId="34" fillId="3" borderId="13" xfId="0" applyFont="1" applyFill="1" applyBorder="1" applyAlignment="1">
      <alignment horizontal="center"/>
    </xf>
  </cellXfs>
  <cellStyles count="51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1 2" xfId="44" xr:uid="{A682D6BC-A125-4BB3-9FD8-F3CB36343201}"/>
    <cellStyle name="60% - Accent2" xfId="24" builtinId="36" customBuiltin="1"/>
    <cellStyle name="60% - Accent2 2" xfId="45" xr:uid="{B1F2FF0D-5038-40B4-999D-64DC44BCE708}"/>
    <cellStyle name="60% - Accent3" xfId="28" builtinId="40" customBuiltin="1"/>
    <cellStyle name="60% - Accent3 2" xfId="46" xr:uid="{8C646631-D713-4D38-ABA3-4D5577F2DAB8}"/>
    <cellStyle name="60% - Accent4" xfId="32" builtinId="44" customBuiltin="1"/>
    <cellStyle name="60% - Accent4 2" xfId="47" xr:uid="{29413CFB-EA9E-4BEB-895C-98E65F0CA6DF}"/>
    <cellStyle name="60% - Accent5" xfId="36" builtinId="48" customBuiltin="1"/>
    <cellStyle name="60% - Accent5 2" xfId="48" xr:uid="{FF4BC557-AE6D-40F9-834F-3C06320337B8}"/>
    <cellStyle name="60% - Accent6" xfId="40" builtinId="52" customBuiltin="1"/>
    <cellStyle name="60% - Accent6 2" xfId="49" xr:uid="{4039AED4-0AF8-4245-B2B8-FF3D74959BEF}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eutral 2" xfId="43" xr:uid="{40185E5C-2E40-49C0-8D50-1F36B6E4EA7D}"/>
    <cellStyle name="Normal" xfId="0" builtinId="0"/>
    <cellStyle name="Normal 2" xfId="50" xr:uid="{6BE0C315-5A0C-47B3-94BB-405EFF8ADC97}"/>
    <cellStyle name="Normal 3" xfId="41" xr:uid="{2FC1C9FB-7850-4105-9E53-DCFEC80907CC}"/>
    <cellStyle name="Note 2" xfId="42" xr:uid="{E3622508-D24A-4722-82A7-4E6D212C0908}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113"/>
  <sheetViews>
    <sheetView tabSelected="1" zoomScale="91" workbookViewId="0">
      <selection activeCell="J45" sqref="J45"/>
    </sheetView>
  </sheetViews>
  <sheetFormatPr baseColWidth="10" defaultColWidth="12.6640625" defaultRowHeight="15.75" customHeight="1" x14ac:dyDescent="0.15"/>
  <cols>
    <col min="1" max="9" width="12.6640625" style="51"/>
    <col min="11" max="14" width="12.6640625" style="51"/>
    <col min="15" max="15" width="22.6640625" style="51" customWidth="1"/>
    <col min="16" max="16384" width="12.6640625" style="51"/>
  </cols>
  <sheetData>
    <row r="1" spans="1:16" customFormat="1" ht="15.75" customHeight="1" x14ac:dyDescent="0.2">
      <c r="A1" s="54" t="s">
        <v>5</v>
      </c>
      <c r="B1" s="54" t="s">
        <v>6</v>
      </c>
      <c r="C1" s="54" t="s">
        <v>7</v>
      </c>
      <c r="D1" s="54" t="s">
        <v>8</v>
      </c>
      <c r="E1" s="54" t="s">
        <v>9</v>
      </c>
      <c r="F1" s="54" t="s">
        <v>10</v>
      </c>
      <c r="G1" s="54" t="s">
        <v>11</v>
      </c>
      <c r="H1" s="54" t="s">
        <v>12</v>
      </c>
      <c r="I1" s="54" t="s">
        <v>13</v>
      </c>
      <c r="J1" t="s">
        <v>14</v>
      </c>
      <c r="K1" s="54" t="s">
        <v>15</v>
      </c>
      <c r="L1" s="54" t="s">
        <v>16</v>
      </c>
      <c r="M1" s="54" t="s">
        <v>17</v>
      </c>
      <c r="N1" s="54" t="s">
        <v>18</v>
      </c>
      <c r="O1" s="54" t="s">
        <v>4</v>
      </c>
      <c r="P1" s="52"/>
    </row>
    <row r="2" spans="1:16" customFormat="1" ht="15.75" customHeight="1" x14ac:dyDescent="0.2">
      <c r="A2" s="54" t="s">
        <v>20</v>
      </c>
      <c r="B2" s="55">
        <v>50.792999999999999</v>
      </c>
      <c r="C2" s="55">
        <v>2.5499999999999998</v>
      </c>
      <c r="D2" s="55">
        <v>13.523</v>
      </c>
      <c r="E2" s="55">
        <v>9.63645</v>
      </c>
      <c r="F2" s="55">
        <v>1.8895</v>
      </c>
      <c r="G2" s="55">
        <v>0.17899999999999999</v>
      </c>
      <c r="H2" s="55">
        <v>7.4320000000000004</v>
      </c>
      <c r="I2" s="55">
        <v>10.593999999999999</v>
      </c>
      <c r="J2">
        <v>2.3029999999999999</v>
      </c>
      <c r="K2" s="55">
        <v>0.42899999999999999</v>
      </c>
      <c r="L2" s="55">
        <v>0.378</v>
      </c>
      <c r="M2" s="55">
        <v>4.0292000000000001E-2</v>
      </c>
      <c r="N2" s="55">
        <v>0.32075046699999998</v>
      </c>
      <c r="O2" s="55">
        <v>1163.542234</v>
      </c>
      <c r="P2" s="53"/>
    </row>
    <row r="3" spans="1:16" customFormat="1" ht="15.75" customHeight="1" x14ac:dyDescent="0.2">
      <c r="A3" s="54" t="s">
        <v>21</v>
      </c>
      <c r="B3" s="55">
        <v>51.116999999999997</v>
      </c>
      <c r="C3" s="55">
        <v>2.512</v>
      </c>
      <c r="D3" s="55">
        <v>13.435</v>
      </c>
      <c r="E3" s="55">
        <v>9.7188999999999997</v>
      </c>
      <c r="F3" s="55">
        <v>1.9056660000000001</v>
      </c>
      <c r="G3" s="55">
        <v>0.23899999999999999</v>
      </c>
      <c r="H3" s="55">
        <v>7.5259999999999998</v>
      </c>
      <c r="I3" s="55">
        <v>10.17</v>
      </c>
      <c r="J3">
        <v>2.4350000000000001</v>
      </c>
      <c r="K3" s="55">
        <v>0.38200000000000001</v>
      </c>
      <c r="L3" s="55">
        <v>0.27600000000000002</v>
      </c>
      <c r="M3" s="55">
        <v>2.2817E-2</v>
      </c>
      <c r="N3" s="55">
        <v>0.317052795</v>
      </c>
      <c r="O3" s="55">
        <v>1103.182151</v>
      </c>
      <c r="P3" s="53"/>
    </row>
    <row r="4" spans="1:16" customFormat="1" ht="15.75" customHeight="1" x14ac:dyDescent="0.2">
      <c r="A4" s="54" t="s">
        <v>22</v>
      </c>
      <c r="B4" s="55">
        <v>51.649000000000001</v>
      </c>
      <c r="C4" s="55">
        <v>2.758</v>
      </c>
      <c r="D4" s="55">
        <v>13.747</v>
      </c>
      <c r="E4" s="55">
        <v>9.6372999999999998</v>
      </c>
      <c r="F4" s="55">
        <v>1.8896660000000001</v>
      </c>
      <c r="G4" s="55">
        <v>0.28199999999999997</v>
      </c>
      <c r="H4" s="55">
        <v>6.02</v>
      </c>
      <c r="I4" s="55">
        <v>10.397</v>
      </c>
      <c r="J4">
        <v>2.4350000000000001</v>
      </c>
      <c r="K4" s="55">
        <v>0.496</v>
      </c>
      <c r="L4" s="55">
        <v>0.34699999999999998</v>
      </c>
      <c r="M4" s="55">
        <v>2.4655E-2</v>
      </c>
      <c r="N4" s="55">
        <v>0.30629953700000001</v>
      </c>
      <c r="O4" s="55">
        <v>1070.8987219999999</v>
      </c>
      <c r="P4" s="53"/>
    </row>
    <row r="5" spans="1:16" customFormat="1" ht="15.75" customHeight="1" x14ac:dyDescent="0.2">
      <c r="A5" s="54" t="s">
        <v>23</v>
      </c>
      <c r="B5" s="55">
        <v>51.917999999999999</v>
      </c>
      <c r="C5" s="55">
        <v>2.7890000000000001</v>
      </c>
      <c r="D5" s="55">
        <v>13.903</v>
      </c>
      <c r="E5" s="55">
        <v>9.6415500000000005</v>
      </c>
      <c r="F5" s="55">
        <v>1.8905000000000001</v>
      </c>
      <c r="G5" s="55">
        <v>0.28499999999999998</v>
      </c>
      <c r="H5" s="55">
        <v>6.1429999999999998</v>
      </c>
      <c r="I5" s="55">
        <v>10.726000000000001</v>
      </c>
      <c r="J5">
        <v>2.5830000000000002</v>
      </c>
      <c r="K5" s="55">
        <v>0.47599999999999998</v>
      </c>
      <c r="L5" s="55">
        <v>0.34799999999999998</v>
      </c>
      <c r="M5" s="55">
        <v>2.7924000000000001E-2</v>
      </c>
      <c r="N5" s="55">
        <v>0.30181970499999999</v>
      </c>
      <c r="O5" s="55">
        <v>1168.867618</v>
      </c>
      <c r="P5" s="53"/>
    </row>
    <row r="6" spans="1:16" customFormat="1" ht="15.75" customHeight="1" x14ac:dyDescent="0.2">
      <c r="A6" s="54" t="s">
        <v>24</v>
      </c>
      <c r="B6" s="55">
        <v>51.701999999999998</v>
      </c>
      <c r="C6" s="55">
        <v>2.754</v>
      </c>
      <c r="D6" s="55">
        <v>13.73</v>
      </c>
      <c r="E6" s="55">
        <v>9.9382000000000001</v>
      </c>
      <c r="F6" s="55">
        <v>1.948666</v>
      </c>
      <c r="G6" s="55">
        <v>0.28100000000000003</v>
      </c>
      <c r="H6" s="55">
        <v>6.351</v>
      </c>
      <c r="I6" s="55">
        <v>9.6920000000000002</v>
      </c>
      <c r="J6">
        <v>2.8220000000000001</v>
      </c>
      <c r="K6" s="55">
        <v>0.74</v>
      </c>
      <c r="L6" s="55">
        <v>0.39900000000000002</v>
      </c>
      <c r="M6" s="55">
        <v>2.7015000000000001E-2</v>
      </c>
      <c r="N6" s="55">
        <v>0.291302065</v>
      </c>
      <c r="O6" s="55">
        <v>1358.68652</v>
      </c>
      <c r="P6" s="53"/>
    </row>
    <row r="7" spans="1:16" customFormat="1" ht="15.75" customHeight="1" x14ac:dyDescent="0.2">
      <c r="A7" s="54" t="s">
        <v>25</v>
      </c>
      <c r="B7" s="55">
        <v>51.061999999999998</v>
      </c>
      <c r="C7" s="55">
        <v>2.7749999999999999</v>
      </c>
      <c r="D7" s="55">
        <v>13.885</v>
      </c>
      <c r="E7" s="55">
        <v>9.9330999999999996</v>
      </c>
      <c r="F7" s="55">
        <v>1.9476659999999999</v>
      </c>
      <c r="G7" s="55">
        <v>0.17100000000000001</v>
      </c>
      <c r="H7" s="55">
        <v>5.9740000000000002</v>
      </c>
      <c r="I7" s="55">
        <v>9.74</v>
      </c>
      <c r="J7">
        <v>2.6869999999999998</v>
      </c>
      <c r="K7" s="55">
        <v>0.67600000000000005</v>
      </c>
      <c r="L7" s="55">
        <v>0.38600000000000001</v>
      </c>
      <c r="M7" s="55">
        <v>2.6363999999999999E-2</v>
      </c>
      <c r="N7" s="55">
        <v>0.28463415600000003</v>
      </c>
      <c r="O7" s="55">
        <v>1446.836155</v>
      </c>
      <c r="P7" s="53"/>
    </row>
    <row r="8" spans="1:16" customFormat="1" ht="15.75" customHeight="1" x14ac:dyDescent="0.2">
      <c r="A8" s="54" t="s">
        <v>26</v>
      </c>
      <c r="B8" s="55">
        <v>51.451000000000001</v>
      </c>
      <c r="C8" s="55">
        <v>2.8220000000000001</v>
      </c>
      <c r="D8" s="55">
        <v>14.12</v>
      </c>
      <c r="E8" s="55">
        <v>9.8982500000000009</v>
      </c>
      <c r="F8" s="55">
        <v>1.940833</v>
      </c>
      <c r="G8" s="55">
        <v>0.17399999999999999</v>
      </c>
      <c r="H8" s="55">
        <v>6.157</v>
      </c>
      <c r="I8" s="55">
        <v>9.7889999999999997</v>
      </c>
      <c r="J8">
        <v>2.8690000000000002</v>
      </c>
      <c r="K8" s="55">
        <v>0.752</v>
      </c>
      <c r="L8" s="55">
        <v>0.40500000000000003</v>
      </c>
      <c r="M8" s="55">
        <v>2.7033999999999999E-2</v>
      </c>
      <c r="N8" s="55">
        <v>0.29147505699999998</v>
      </c>
      <c r="O8" s="55">
        <v>1412.2823550000001</v>
      </c>
      <c r="P8" s="53"/>
    </row>
    <row r="9" spans="1:16" customFormat="1" ht="15.75" customHeight="1" x14ac:dyDescent="0.2">
      <c r="A9" s="54" t="s">
        <v>27</v>
      </c>
      <c r="B9" s="55">
        <v>51.078000000000003</v>
      </c>
      <c r="C9" s="55">
        <v>2.7589999999999999</v>
      </c>
      <c r="D9" s="55">
        <v>13.805999999999999</v>
      </c>
      <c r="E9" s="55">
        <v>9.8965499999999995</v>
      </c>
      <c r="F9" s="55">
        <v>1.9404999999999999</v>
      </c>
      <c r="G9" s="55">
        <v>0.17</v>
      </c>
      <c r="H9" s="55">
        <v>6.5369999999999999</v>
      </c>
      <c r="I9" s="55">
        <v>9.7100000000000009</v>
      </c>
      <c r="J9">
        <v>2.9289999999999998</v>
      </c>
      <c r="K9" s="55">
        <v>0.70099999999999996</v>
      </c>
      <c r="L9" s="55">
        <v>0.39900000000000002</v>
      </c>
      <c r="M9" s="55">
        <v>2.8562000000000001E-2</v>
      </c>
      <c r="N9" s="55">
        <v>0.293955784</v>
      </c>
      <c r="O9" s="55">
        <v>1448.6562289999999</v>
      </c>
      <c r="P9" s="53"/>
    </row>
    <row r="10" spans="1:16" customFormat="1" ht="15.75" customHeight="1" x14ac:dyDescent="0.2">
      <c r="A10" s="54" t="s">
        <v>28</v>
      </c>
      <c r="B10" s="55">
        <v>51.204000000000001</v>
      </c>
      <c r="C10" s="55">
        <v>3.4409999999999998</v>
      </c>
      <c r="D10" s="55">
        <v>13.36</v>
      </c>
      <c r="E10" s="55">
        <v>9.7350499999999993</v>
      </c>
      <c r="F10" s="55">
        <v>1.908833</v>
      </c>
      <c r="G10" s="55">
        <v>0.19500000000000001</v>
      </c>
      <c r="H10" s="55">
        <v>5.9039999999999999</v>
      </c>
      <c r="I10" s="55">
        <v>10.712</v>
      </c>
      <c r="J10">
        <v>2.3780000000000001</v>
      </c>
      <c r="K10" s="55">
        <v>0.48199999999999998</v>
      </c>
      <c r="L10" s="55">
        <v>0.27900000000000003</v>
      </c>
      <c r="M10" s="55">
        <v>8.2489999999999994E-3</v>
      </c>
      <c r="N10" s="55">
        <v>0.27175660099999999</v>
      </c>
      <c r="O10" s="55">
        <v>402.1706959</v>
      </c>
      <c r="P10" s="53"/>
    </row>
    <row r="11" spans="1:16" customFormat="1" ht="15.75" customHeight="1" x14ac:dyDescent="0.2">
      <c r="A11" s="54" t="s">
        <v>29</v>
      </c>
      <c r="B11" s="55">
        <v>51.372999999999998</v>
      </c>
      <c r="C11" s="55">
        <v>2.452</v>
      </c>
      <c r="D11" s="55">
        <v>13.193</v>
      </c>
      <c r="E11" s="55">
        <v>9.6645000000000003</v>
      </c>
      <c r="F11" s="55">
        <v>1.895</v>
      </c>
      <c r="G11" s="55">
        <v>0.19400000000000001</v>
      </c>
      <c r="H11" s="55">
        <v>7.4409999999999998</v>
      </c>
      <c r="I11" s="55">
        <v>10.44</v>
      </c>
      <c r="J11">
        <v>2.4089999999999998</v>
      </c>
      <c r="K11" s="55">
        <v>0.40699999999999997</v>
      </c>
      <c r="L11" s="55">
        <v>0.26900000000000002</v>
      </c>
      <c r="M11" s="55">
        <v>1.1594E-2</v>
      </c>
      <c r="N11" s="55">
        <v>0.28886468700000001</v>
      </c>
      <c r="O11" s="55">
        <v>705.73883030000002</v>
      </c>
      <c r="P11" s="53"/>
    </row>
    <row r="12" spans="1:16" customFormat="1" ht="15.75" customHeight="1" x14ac:dyDescent="0.2">
      <c r="A12" s="54" t="s">
        <v>30</v>
      </c>
      <c r="B12" s="55">
        <v>51.29</v>
      </c>
      <c r="C12" s="55">
        <v>2.3740000000000001</v>
      </c>
      <c r="D12" s="55">
        <v>13.332000000000001</v>
      </c>
      <c r="E12" s="55">
        <v>9.6330500000000008</v>
      </c>
      <c r="F12" s="55">
        <v>1.888833</v>
      </c>
      <c r="G12" s="55">
        <v>0.182</v>
      </c>
      <c r="H12" s="55">
        <v>7.41</v>
      </c>
      <c r="I12" s="55">
        <v>10.474</v>
      </c>
      <c r="J12">
        <v>2.4409999999999998</v>
      </c>
      <c r="K12" s="55">
        <v>0.40699999999999997</v>
      </c>
      <c r="L12" s="55">
        <v>0.308</v>
      </c>
      <c r="M12" s="55">
        <v>1.1911E-2</v>
      </c>
      <c r="N12" s="55">
        <v>0.28730369900000002</v>
      </c>
      <c r="O12" s="55">
        <v>902.55464189999998</v>
      </c>
      <c r="P12" s="53"/>
    </row>
    <row r="13" spans="1:16" customFormat="1" ht="15.75" customHeight="1" x14ac:dyDescent="0.2">
      <c r="A13" s="54" t="s">
        <v>31</v>
      </c>
      <c r="B13" s="55">
        <v>51.360999999999997</v>
      </c>
      <c r="C13" s="55">
        <v>3.4649999999999999</v>
      </c>
      <c r="D13" s="55">
        <v>13.451000000000001</v>
      </c>
      <c r="E13" s="55">
        <v>9.6304999999999996</v>
      </c>
      <c r="F13" s="55">
        <v>1.888333</v>
      </c>
      <c r="G13" s="55">
        <v>0.19600000000000001</v>
      </c>
      <c r="H13" s="55">
        <v>5.9770000000000003</v>
      </c>
      <c r="I13" s="55">
        <v>10.442</v>
      </c>
      <c r="J13">
        <v>2.6160000000000001</v>
      </c>
      <c r="K13" s="55">
        <v>0.54600000000000004</v>
      </c>
      <c r="L13" s="55">
        <v>0.318</v>
      </c>
      <c r="M13" s="55">
        <v>2.2343999999999999E-2</v>
      </c>
      <c r="N13" s="55">
        <v>0.28771036900000002</v>
      </c>
      <c r="O13" s="55">
        <v>677.20583260000001</v>
      </c>
      <c r="P13" s="53"/>
    </row>
    <row r="14" spans="1:16" customFormat="1" ht="15" x14ac:dyDescent="0.2">
      <c r="A14" s="54" t="s">
        <v>32</v>
      </c>
      <c r="B14" s="55">
        <v>51.387</v>
      </c>
      <c r="C14" s="55">
        <v>3.47</v>
      </c>
      <c r="D14" s="55">
        <v>13.472</v>
      </c>
      <c r="E14" s="55">
        <v>9.6636500000000005</v>
      </c>
      <c r="F14" s="55">
        <v>1.894833</v>
      </c>
      <c r="G14" s="55">
        <v>0.19700000000000001</v>
      </c>
      <c r="H14" s="55">
        <v>5.9530000000000003</v>
      </c>
      <c r="I14" s="55">
        <v>10.721</v>
      </c>
      <c r="J14">
        <v>2.4540000000000002</v>
      </c>
      <c r="K14" s="55">
        <v>0.40799999999999997</v>
      </c>
      <c r="L14" s="55">
        <v>0.27400000000000002</v>
      </c>
      <c r="M14" s="55">
        <v>1.17E-2</v>
      </c>
      <c r="N14" s="55">
        <v>0.26721769000000001</v>
      </c>
      <c r="O14" s="55">
        <v>578.14552289999995</v>
      </c>
      <c r="P14" s="53"/>
    </row>
    <row r="15" spans="1:16" customFormat="1" ht="15" x14ac:dyDescent="0.2">
      <c r="A15" s="54" t="s">
        <v>33</v>
      </c>
      <c r="B15" s="55">
        <v>51.305</v>
      </c>
      <c r="C15" s="55">
        <v>2.871</v>
      </c>
      <c r="D15" s="55">
        <v>13.222</v>
      </c>
      <c r="E15" s="55">
        <v>9.6525999999999996</v>
      </c>
      <c r="F15" s="55">
        <v>1.892666</v>
      </c>
      <c r="G15" s="55">
        <v>0.114</v>
      </c>
      <c r="H15" s="55">
        <v>7.6050000000000004</v>
      </c>
      <c r="I15" s="55">
        <v>9.6910000000000007</v>
      </c>
      <c r="J15">
        <v>2.581</v>
      </c>
      <c r="K15" s="55">
        <v>0.504</v>
      </c>
      <c r="L15" s="55">
        <v>0.29399999999999998</v>
      </c>
      <c r="M15" s="55">
        <v>3.0339999999999999E-2</v>
      </c>
      <c r="N15" s="55">
        <v>0.30229526299999998</v>
      </c>
      <c r="O15" s="55">
        <v>1193.724397</v>
      </c>
      <c r="P15" s="53"/>
    </row>
    <row r="16" spans="1:16" customFormat="1" ht="15" x14ac:dyDescent="0.2">
      <c r="A16" s="54" t="s">
        <v>34</v>
      </c>
      <c r="B16" s="55">
        <v>51.210999999999999</v>
      </c>
      <c r="C16" s="55">
        <v>2.9039999999999999</v>
      </c>
      <c r="D16" s="55">
        <v>13.221</v>
      </c>
      <c r="E16" s="55">
        <v>9.7240000000000002</v>
      </c>
      <c r="F16" s="55">
        <v>1.906666</v>
      </c>
      <c r="G16" s="55">
        <v>0.247</v>
      </c>
      <c r="H16" s="55">
        <v>7.3029999999999999</v>
      </c>
      <c r="I16" s="55">
        <v>9.7710000000000008</v>
      </c>
      <c r="J16">
        <v>2.5609999999999999</v>
      </c>
      <c r="K16" s="55">
        <v>0.52</v>
      </c>
      <c r="L16" s="55">
        <v>0.35399999999999998</v>
      </c>
      <c r="M16" s="55">
        <v>2.9503000000000001E-2</v>
      </c>
      <c r="N16" s="55">
        <v>0.31004647499999999</v>
      </c>
      <c r="O16" s="55">
        <v>1171.582682</v>
      </c>
      <c r="P16" s="53"/>
    </row>
    <row r="17" spans="1:16" customFormat="1" ht="15" x14ac:dyDescent="0.2">
      <c r="A17" s="54" t="s">
        <v>35</v>
      </c>
      <c r="B17" s="55">
        <v>51.015000000000001</v>
      </c>
      <c r="C17" s="55">
        <v>3.3740000000000001</v>
      </c>
      <c r="D17" s="55">
        <v>13.208</v>
      </c>
      <c r="E17" s="55">
        <v>9.6381499999999996</v>
      </c>
      <c r="F17" s="55">
        <v>1.8898330000000001</v>
      </c>
      <c r="G17" s="55">
        <v>0.20399999999999999</v>
      </c>
      <c r="H17" s="55">
        <v>7.3730000000000002</v>
      </c>
      <c r="I17" s="55">
        <v>9.1189999999999998</v>
      </c>
      <c r="J17">
        <v>2.782</v>
      </c>
      <c r="K17" s="55">
        <v>0.69899999999999995</v>
      </c>
      <c r="L17" s="55">
        <v>0.433</v>
      </c>
      <c r="M17" s="55">
        <v>2.3446000000000002E-2</v>
      </c>
      <c r="N17" s="55">
        <v>0.30228208200000001</v>
      </c>
      <c r="O17" s="55">
        <v>1025.2659490000001</v>
      </c>
      <c r="P17" s="53"/>
    </row>
    <row r="18" spans="1:16" customFormat="1" ht="15" x14ac:dyDescent="0.2">
      <c r="A18" s="54" t="s">
        <v>36</v>
      </c>
      <c r="B18" s="55">
        <v>51.822000000000003</v>
      </c>
      <c r="C18" s="55">
        <v>2.722</v>
      </c>
      <c r="D18" s="55">
        <v>13.340999999999999</v>
      </c>
      <c r="E18" s="55">
        <v>9.6398499999999991</v>
      </c>
      <c r="F18" s="55">
        <v>1.890166</v>
      </c>
      <c r="G18" s="55">
        <v>0.18099999999999999</v>
      </c>
      <c r="H18" s="55">
        <v>7.3760000000000003</v>
      </c>
      <c r="I18" s="55">
        <v>9.1449999999999996</v>
      </c>
      <c r="J18">
        <v>2.85</v>
      </c>
      <c r="K18" s="55">
        <v>0.44700000000000001</v>
      </c>
      <c r="L18" s="55">
        <v>0.29899999999999999</v>
      </c>
      <c r="M18" s="55">
        <v>2.0797E-2</v>
      </c>
      <c r="N18" s="55">
        <v>0.32563094399999998</v>
      </c>
      <c r="O18" s="55">
        <v>1098.358933</v>
      </c>
      <c r="P18" s="53"/>
    </row>
    <row r="19" spans="1:16" customFormat="1" ht="15" x14ac:dyDescent="0.2">
      <c r="A19" s="54" t="s">
        <v>37</v>
      </c>
      <c r="B19" s="55">
        <v>51.973999999999997</v>
      </c>
      <c r="C19" s="55">
        <v>2.7959999999999998</v>
      </c>
      <c r="D19" s="55">
        <v>13.087999999999999</v>
      </c>
      <c r="E19" s="55">
        <v>9.6372999999999998</v>
      </c>
      <c r="F19" s="55">
        <v>1.8896660000000001</v>
      </c>
      <c r="G19" s="55">
        <v>0.14199999999999999</v>
      </c>
      <c r="H19" s="55">
        <v>7.3780000000000001</v>
      </c>
      <c r="I19" s="55">
        <v>9.343</v>
      </c>
      <c r="J19">
        <v>2.7509999999999999</v>
      </c>
      <c r="K19" s="55">
        <v>0.48</v>
      </c>
      <c r="L19" s="55">
        <v>0.25800000000000001</v>
      </c>
      <c r="M19" s="55">
        <v>2.0242E-2</v>
      </c>
      <c r="N19" s="55">
        <v>0.29361072599999999</v>
      </c>
      <c r="O19" s="55">
        <v>1065.0681119999999</v>
      </c>
      <c r="P19" s="53"/>
    </row>
    <row r="20" spans="1:16" customFormat="1" ht="15" x14ac:dyDescent="0.2">
      <c r="A20" s="54" t="s">
        <v>38</v>
      </c>
      <c r="B20" s="55">
        <v>51.545999999999999</v>
      </c>
      <c r="C20" s="55">
        <v>3.4609999999999999</v>
      </c>
      <c r="D20" s="55">
        <v>13.233000000000001</v>
      </c>
      <c r="E20" s="55">
        <v>9.7231500000000004</v>
      </c>
      <c r="F20" s="55">
        <v>1.9065000000000001</v>
      </c>
      <c r="G20" s="55">
        <v>0.22600000000000001</v>
      </c>
      <c r="H20" s="55">
        <v>6.0609999999999999</v>
      </c>
      <c r="I20" s="55">
        <v>11.026</v>
      </c>
      <c r="J20">
        <v>2.3860000000000001</v>
      </c>
      <c r="K20" s="55">
        <v>0.51200000000000001</v>
      </c>
      <c r="L20" s="55">
        <v>0.28999999999999998</v>
      </c>
      <c r="M20" s="55">
        <v>2.5221E-2</v>
      </c>
      <c r="N20" s="55">
        <v>0.30958117000000002</v>
      </c>
      <c r="O20" s="55">
        <v>1166.3742460000001</v>
      </c>
      <c r="P20" s="53"/>
    </row>
    <row r="21" spans="1:16" customFormat="1" ht="15" x14ac:dyDescent="0.2">
      <c r="A21" s="54" t="s">
        <v>39</v>
      </c>
      <c r="B21" s="55">
        <v>51.658999999999999</v>
      </c>
      <c r="C21" s="55">
        <v>3.4830000000000001</v>
      </c>
      <c r="D21" s="55">
        <v>13.32</v>
      </c>
      <c r="E21" s="55">
        <v>9.6415500000000005</v>
      </c>
      <c r="F21" s="55">
        <v>1.8905000000000001</v>
      </c>
      <c r="G21" s="55">
        <v>0.22700000000000001</v>
      </c>
      <c r="H21" s="55">
        <v>5.9589999999999996</v>
      </c>
      <c r="I21" s="55">
        <v>11.063000000000001</v>
      </c>
      <c r="J21">
        <v>2.4870000000000001</v>
      </c>
      <c r="K21" s="55">
        <v>0.498</v>
      </c>
      <c r="L21" s="55">
        <v>0.30499999999999999</v>
      </c>
      <c r="M21" s="55">
        <v>3.2622999999999999E-2</v>
      </c>
      <c r="N21" s="55">
        <v>0.30678118100000001</v>
      </c>
      <c r="O21" s="55">
        <v>1170.557538</v>
      </c>
      <c r="P21" s="53"/>
    </row>
    <row r="22" spans="1:16" customFormat="1" ht="15" x14ac:dyDescent="0.2">
      <c r="A22" s="54" t="s">
        <v>40</v>
      </c>
      <c r="B22" s="55">
        <v>50.542000000000002</v>
      </c>
      <c r="C22" s="55">
        <v>2.0419999999999998</v>
      </c>
      <c r="D22" s="55">
        <v>12.855</v>
      </c>
      <c r="E22" s="55">
        <v>9.6313499999999994</v>
      </c>
      <c r="F22" s="55">
        <v>1.8885000000000001</v>
      </c>
      <c r="G22" s="55">
        <v>0.113</v>
      </c>
      <c r="H22" s="55">
        <v>9.1999999999999993</v>
      </c>
      <c r="I22" s="55">
        <v>10.314</v>
      </c>
      <c r="J22">
        <v>2.4569999999999999</v>
      </c>
      <c r="K22" s="55">
        <v>0.441</v>
      </c>
      <c r="L22" s="55">
        <v>0.26400000000000001</v>
      </c>
      <c r="M22" s="55">
        <v>3.8318999999999999E-2</v>
      </c>
      <c r="N22" s="55">
        <v>0.29443087899999998</v>
      </c>
      <c r="O22" s="55">
        <v>414.2236039</v>
      </c>
      <c r="P22" s="53"/>
    </row>
    <row r="23" spans="1:16" customFormat="1" ht="15" x14ac:dyDescent="0.2">
      <c r="A23" s="54" t="s">
        <v>41</v>
      </c>
      <c r="B23" s="55">
        <v>49.921999999999997</v>
      </c>
      <c r="C23" s="55">
        <v>2.2010000000000001</v>
      </c>
      <c r="D23" s="55">
        <v>11.943</v>
      </c>
      <c r="E23" s="55">
        <v>9.63645</v>
      </c>
      <c r="F23" s="55">
        <v>1.8895</v>
      </c>
      <c r="G23" s="55">
        <v>0.14499999999999999</v>
      </c>
      <c r="H23" s="55">
        <v>11.055</v>
      </c>
      <c r="I23" s="55">
        <v>10.114000000000001</v>
      </c>
      <c r="J23">
        <v>2.2109999999999999</v>
      </c>
      <c r="K23" s="55">
        <v>0.435</v>
      </c>
      <c r="L23" s="55">
        <v>0.22</v>
      </c>
      <c r="M23" s="55">
        <v>6.3212000000000004E-2</v>
      </c>
      <c r="N23" s="55">
        <v>0.29362084500000002</v>
      </c>
      <c r="O23" s="55">
        <v>656.51372449999997</v>
      </c>
      <c r="P23" s="53"/>
    </row>
    <row r="24" spans="1:16" customFormat="1" ht="15" x14ac:dyDescent="0.2">
      <c r="A24" s="54" t="s">
        <v>42</v>
      </c>
      <c r="B24" s="55">
        <v>49.46</v>
      </c>
      <c r="C24" s="55">
        <v>2.2210000000000001</v>
      </c>
      <c r="D24" s="55">
        <v>11.47</v>
      </c>
      <c r="E24" s="55">
        <v>9.6356000000000002</v>
      </c>
      <c r="F24" s="55">
        <v>1.8893329999999999</v>
      </c>
      <c r="G24" s="55">
        <v>0.19500000000000001</v>
      </c>
      <c r="H24" s="55">
        <v>12.202999999999999</v>
      </c>
      <c r="I24" s="55">
        <v>9.7509999999999994</v>
      </c>
      <c r="J24">
        <v>2.25</v>
      </c>
      <c r="K24" s="55">
        <v>0.45100000000000001</v>
      </c>
      <c r="L24" s="55">
        <v>0.254</v>
      </c>
      <c r="M24" s="55">
        <v>0.1195</v>
      </c>
      <c r="N24" s="55">
        <v>0.29300617099999998</v>
      </c>
      <c r="O24" s="55">
        <v>638.71617049999998</v>
      </c>
      <c r="P24" s="53"/>
    </row>
    <row r="25" spans="1:16" customFormat="1" ht="15" x14ac:dyDescent="0.2">
      <c r="A25" s="54" t="s">
        <v>43</v>
      </c>
      <c r="B25" s="55">
        <v>51.707999999999998</v>
      </c>
      <c r="C25" s="55">
        <v>2.1110000000000002</v>
      </c>
      <c r="D25" s="55">
        <v>12.875999999999999</v>
      </c>
      <c r="E25" s="55">
        <v>9.6313499999999994</v>
      </c>
      <c r="F25" s="55">
        <v>1.8885000000000001</v>
      </c>
      <c r="G25" s="55">
        <v>0.22600000000000001</v>
      </c>
      <c r="H25" s="55">
        <v>8.14</v>
      </c>
      <c r="I25" s="55">
        <v>9.6120000000000001</v>
      </c>
      <c r="J25">
        <v>2.8370000000000002</v>
      </c>
      <c r="K25" s="55">
        <v>0.36799999999999999</v>
      </c>
      <c r="L25" s="55">
        <v>0.32400000000000001</v>
      </c>
      <c r="M25" s="55">
        <v>4.8980999999999997E-2</v>
      </c>
      <c r="N25" s="55">
        <v>0.316317444</v>
      </c>
      <c r="O25" s="55">
        <v>803.63745070000004</v>
      </c>
      <c r="P25" s="53"/>
    </row>
    <row r="26" spans="1:16" customFormat="1" ht="15" x14ac:dyDescent="0.2">
      <c r="A26" s="54" t="s">
        <v>44</v>
      </c>
      <c r="B26" s="55">
        <v>49.152000000000001</v>
      </c>
      <c r="C26" s="55">
        <v>2.3559999999999999</v>
      </c>
      <c r="D26" s="55">
        <v>11.391999999999999</v>
      </c>
      <c r="E26" s="55">
        <v>9.6339000000000006</v>
      </c>
      <c r="F26" s="55">
        <v>1.889</v>
      </c>
      <c r="G26" s="55">
        <v>0.161</v>
      </c>
      <c r="H26" s="55">
        <v>12.523999999999999</v>
      </c>
      <c r="I26" s="55">
        <v>9.9510000000000005</v>
      </c>
      <c r="J26">
        <v>2.177</v>
      </c>
      <c r="K26" s="55">
        <v>0.33400000000000002</v>
      </c>
      <c r="L26" s="55">
        <v>0.223</v>
      </c>
      <c r="M26" s="55">
        <v>5.5779000000000002E-2</v>
      </c>
      <c r="N26" s="55">
        <v>0.277988022</v>
      </c>
      <c r="O26" s="55">
        <v>719.4576654</v>
      </c>
      <c r="P26" s="53"/>
    </row>
    <row r="27" spans="1:16" customFormat="1" ht="15" x14ac:dyDescent="0.2">
      <c r="A27" s="54" t="s">
        <v>45</v>
      </c>
      <c r="B27" s="55">
        <v>49.271999999999998</v>
      </c>
      <c r="C27" s="55">
        <v>1.8959999999999999</v>
      </c>
      <c r="D27" s="55">
        <v>11.32</v>
      </c>
      <c r="E27" s="55">
        <v>9.6330500000000008</v>
      </c>
      <c r="F27" s="55">
        <v>1.888833</v>
      </c>
      <c r="G27" s="55">
        <v>0.13200000000000001</v>
      </c>
      <c r="H27" s="55">
        <v>13.414</v>
      </c>
      <c r="I27" s="55">
        <v>9.5009999999999994</v>
      </c>
      <c r="J27">
        <v>2.2160000000000002</v>
      </c>
      <c r="K27" s="55">
        <v>0.313</v>
      </c>
      <c r="L27" s="55">
        <v>0.20899999999999999</v>
      </c>
      <c r="M27" s="55">
        <v>7.5888999999999998E-2</v>
      </c>
      <c r="N27" s="55">
        <v>0.290316721</v>
      </c>
      <c r="O27" s="55">
        <v>609.95138789999999</v>
      </c>
      <c r="P27" s="53"/>
    </row>
    <row r="28" spans="1:16" customFormat="1" ht="15" x14ac:dyDescent="0.2">
      <c r="A28" s="54" t="s">
        <v>46</v>
      </c>
      <c r="B28" s="55">
        <v>48.753</v>
      </c>
      <c r="C28" s="55">
        <v>2.5089999999999999</v>
      </c>
      <c r="D28" s="55">
        <v>11.663</v>
      </c>
      <c r="E28" s="55">
        <v>9.6330500000000008</v>
      </c>
      <c r="F28" s="55">
        <v>1.888833</v>
      </c>
      <c r="G28" s="55">
        <v>0.21099999999999999</v>
      </c>
      <c r="H28" s="55">
        <v>12.173999999999999</v>
      </c>
      <c r="I28" s="55">
        <v>9.9870000000000001</v>
      </c>
      <c r="J28">
        <v>2.1960000000000002</v>
      </c>
      <c r="K28" s="55">
        <v>0.496</v>
      </c>
      <c r="L28" s="55">
        <v>0.26900000000000002</v>
      </c>
      <c r="M28" s="55">
        <v>5.7178E-2</v>
      </c>
      <c r="N28" s="55">
        <v>0.28609163500000001</v>
      </c>
      <c r="O28" s="55">
        <v>684.96991370000001</v>
      </c>
      <c r="P28" s="53"/>
    </row>
    <row r="29" spans="1:16" customFormat="1" ht="15" x14ac:dyDescent="0.2">
      <c r="A29" s="54" t="s">
        <v>47</v>
      </c>
      <c r="B29" s="55">
        <v>50.863999999999997</v>
      </c>
      <c r="C29" s="55">
        <v>2.1989999999999998</v>
      </c>
      <c r="D29" s="55">
        <v>13.064</v>
      </c>
      <c r="E29" s="55">
        <v>9.63645</v>
      </c>
      <c r="F29" s="55">
        <v>1.8895</v>
      </c>
      <c r="G29" s="55">
        <v>0.224</v>
      </c>
      <c r="H29" s="55">
        <v>8.68</v>
      </c>
      <c r="I29" s="55">
        <v>10.090999999999999</v>
      </c>
      <c r="J29">
        <v>2.4550000000000001</v>
      </c>
      <c r="K29" s="55">
        <v>0.34599999999999997</v>
      </c>
      <c r="L29" s="55">
        <v>0.28599999999999998</v>
      </c>
      <c r="M29" s="55">
        <v>5.8779999999999999E-2</v>
      </c>
      <c r="N29" s="55">
        <v>0.31064017500000002</v>
      </c>
      <c r="O29" s="55">
        <v>815.87137959999995</v>
      </c>
      <c r="P29" s="53"/>
    </row>
    <row r="30" spans="1:16" customFormat="1" ht="15" x14ac:dyDescent="0.2">
      <c r="A30" s="54" t="s">
        <v>48</v>
      </c>
      <c r="B30" s="55">
        <v>49.725000000000001</v>
      </c>
      <c r="C30" s="55">
        <v>1.8480000000000001</v>
      </c>
      <c r="D30" s="55">
        <v>11.164999999999999</v>
      </c>
      <c r="E30" s="55">
        <v>9.6313499999999994</v>
      </c>
      <c r="F30" s="55">
        <v>1.8885000000000001</v>
      </c>
      <c r="G30" s="55">
        <v>0.151</v>
      </c>
      <c r="H30" s="55">
        <v>13.305999999999999</v>
      </c>
      <c r="I30" s="55">
        <v>9.452</v>
      </c>
      <c r="J30">
        <v>2.177</v>
      </c>
      <c r="K30" s="55">
        <v>0.28799999999999998</v>
      </c>
      <c r="L30" s="55">
        <v>0.17</v>
      </c>
      <c r="M30" s="55">
        <v>6.7169999999999994E-2</v>
      </c>
      <c r="N30" s="55">
        <v>0.280435514</v>
      </c>
      <c r="O30" s="55">
        <v>611.80772430000002</v>
      </c>
      <c r="P30" s="53"/>
    </row>
    <row r="31" spans="1:16" customFormat="1" ht="15" x14ac:dyDescent="0.2">
      <c r="A31" s="54" t="s">
        <v>49</v>
      </c>
      <c r="B31" s="55">
        <v>50.298999999999999</v>
      </c>
      <c r="C31" s="55">
        <v>2.2000000000000002</v>
      </c>
      <c r="D31" s="55">
        <v>12.244999999999999</v>
      </c>
      <c r="E31" s="55">
        <v>9.6432500000000001</v>
      </c>
      <c r="F31" s="55">
        <v>1.890833</v>
      </c>
      <c r="G31" s="55">
        <v>0.14099999999999999</v>
      </c>
      <c r="H31" s="55">
        <v>9.9670000000000005</v>
      </c>
      <c r="I31" s="55">
        <v>10.351000000000001</v>
      </c>
      <c r="J31">
        <v>2.403</v>
      </c>
      <c r="K31" s="55">
        <v>0.38800000000000001</v>
      </c>
      <c r="L31" s="55">
        <v>0.23699999999999999</v>
      </c>
      <c r="M31" s="55">
        <v>6.5667000000000003E-2</v>
      </c>
      <c r="N31" s="55">
        <v>0.28622366599999999</v>
      </c>
      <c r="O31" s="55">
        <v>707.81591600000002</v>
      </c>
      <c r="P31" s="53"/>
    </row>
    <row r="32" spans="1:16" customFormat="1" ht="15" x14ac:dyDescent="0.2">
      <c r="A32" s="54" t="s">
        <v>50</v>
      </c>
      <c r="B32" s="55">
        <v>50.826000000000001</v>
      </c>
      <c r="C32" s="55">
        <v>3.4550000000000001</v>
      </c>
      <c r="D32" s="55">
        <v>13.068</v>
      </c>
      <c r="E32" s="55">
        <v>9.6321999999999992</v>
      </c>
      <c r="F32" s="55">
        <v>1.888666</v>
      </c>
      <c r="G32" s="55">
        <v>0.17299999999999999</v>
      </c>
      <c r="H32" s="55">
        <v>6.0110000000000001</v>
      </c>
      <c r="I32" s="55">
        <v>10.602</v>
      </c>
      <c r="J32">
        <v>2.8330000000000002</v>
      </c>
      <c r="K32" s="55">
        <v>0.372</v>
      </c>
      <c r="L32" s="55">
        <v>0.30199999999999999</v>
      </c>
      <c r="M32" s="55">
        <v>1.8866000000000001E-2</v>
      </c>
      <c r="N32" s="55">
        <v>0.29484458400000002</v>
      </c>
      <c r="O32" s="55">
        <v>1058.7691970000001</v>
      </c>
      <c r="P32" s="53"/>
    </row>
    <row r="33" spans="1:16" customFormat="1" ht="15" x14ac:dyDescent="0.2">
      <c r="A33" s="54" t="s">
        <v>51</v>
      </c>
      <c r="B33" s="55">
        <v>51.115000000000002</v>
      </c>
      <c r="C33" s="55">
        <v>3.4980000000000002</v>
      </c>
      <c r="D33" s="55">
        <v>13.234</v>
      </c>
      <c r="E33" s="55">
        <v>9.6407000000000007</v>
      </c>
      <c r="F33" s="55">
        <v>1.890333</v>
      </c>
      <c r="G33" s="55">
        <v>0.17499999999999999</v>
      </c>
      <c r="H33" s="55">
        <v>6.1449999999999996</v>
      </c>
      <c r="I33" s="55">
        <v>10.682</v>
      </c>
      <c r="J33">
        <v>2.7719999999999998</v>
      </c>
      <c r="K33" s="55">
        <v>0.38800000000000001</v>
      </c>
      <c r="L33" s="55">
        <v>0.26200000000000001</v>
      </c>
      <c r="M33" s="55">
        <v>2.5975000000000002E-2</v>
      </c>
      <c r="N33" s="55">
        <v>0.292732251</v>
      </c>
      <c r="O33" s="55">
        <v>1018.408698</v>
      </c>
      <c r="P33" s="53"/>
    </row>
    <row r="34" spans="1:16" customFormat="1" ht="15" x14ac:dyDescent="0.2">
      <c r="A34" s="54" t="s">
        <v>52</v>
      </c>
      <c r="B34" s="55">
        <v>49.220999999999997</v>
      </c>
      <c r="C34" s="55">
        <v>1.9159999999999999</v>
      </c>
      <c r="D34" s="55">
        <v>11.388999999999999</v>
      </c>
      <c r="E34" s="55">
        <v>9.63645</v>
      </c>
      <c r="F34" s="55">
        <v>1.8895</v>
      </c>
      <c r="G34" s="55">
        <v>0.189</v>
      </c>
      <c r="H34" s="55">
        <v>13.397</v>
      </c>
      <c r="I34" s="55">
        <v>9.4459999999999997</v>
      </c>
      <c r="J34">
        <v>2.1840000000000002</v>
      </c>
      <c r="K34" s="55">
        <v>0.32400000000000001</v>
      </c>
      <c r="L34" s="55">
        <v>0.219</v>
      </c>
      <c r="M34" s="55">
        <v>5.6297E-2</v>
      </c>
      <c r="N34" s="55">
        <v>0.270171983</v>
      </c>
      <c r="O34" s="55">
        <v>573.89247890000001</v>
      </c>
      <c r="P34" s="53"/>
    </row>
    <row r="35" spans="1:16" customFormat="1" ht="15" x14ac:dyDescent="0.2">
      <c r="A35" s="54" t="s">
        <v>53</v>
      </c>
      <c r="B35" s="55">
        <v>50.100999999999999</v>
      </c>
      <c r="C35" s="55">
        <v>2.9660000000000002</v>
      </c>
      <c r="D35" s="55">
        <v>13.542999999999999</v>
      </c>
      <c r="E35" s="55">
        <v>9.6398499999999991</v>
      </c>
      <c r="F35" s="55">
        <v>1.890166</v>
      </c>
      <c r="G35" s="55">
        <v>0.222</v>
      </c>
      <c r="H35" s="55">
        <v>7.7539999999999996</v>
      </c>
      <c r="I35" s="55">
        <v>10.32</v>
      </c>
      <c r="J35">
        <v>2.6459999999999999</v>
      </c>
      <c r="K35" s="55">
        <v>0.495</v>
      </c>
      <c r="L35" s="55">
        <v>0.16400000000000001</v>
      </c>
      <c r="M35" s="55">
        <v>0.14049200000000001</v>
      </c>
      <c r="N35" s="55">
        <v>0.28462596499999998</v>
      </c>
      <c r="O35" s="55">
        <v>975.90543479999997</v>
      </c>
      <c r="P35" s="53"/>
    </row>
    <row r="36" spans="1:16" customFormat="1" ht="15" x14ac:dyDescent="0.2">
      <c r="A36" s="54" t="s">
        <v>54</v>
      </c>
      <c r="B36" s="55">
        <v>51.295000000000002</v>
      </c>
      <c r="C36" s="55">
        <v>3.536</v>
      </c>
      <c r="D36" s="55">
        <v>13.375999999999999</v>
      </c>
      <c r="E36" s="55">
        <v>9.6653500000000001</v>
      </c>
      <c r="F36" s="55">
        <v>1.8951659999999999</v>
      </c>
      <c r="G36" s="55">
        <v>0.17699999999999999</v>
      </c>
      <c r="H36" s="55">
        <v>5.9779999999999998</v>
      </c>
      <c r="I36" s="55">
        <v>10.564</v>
      </c>
      <c r="J36">
        <v>2.7050000000000001</v>
      </c>
      <c r="K36" s="55">
        <v>0.36199999999999999</v>
      </c>
      <c r="L36" s="55">
        <v>0.30299999999999999</v>
      </c>
      <c r="M36" s="55">
        <v>1.3140000000000001E-2</v>
      </c>
      <c r="N36" s="55">
        <v>0.29032568199999997</v>
      </c>
      <c r="O36" s="55">
        <v>1065.203614</v>
      </c>
      <c r="P36" s="53"/>
    </row>
    <row r="37" spans="1:16" customFormat="1" ht="15" x14ac:dyDescent="0.2">
      <c r="A37" s="54" t="s">
        <v>55</v>
      </c>
      <c r="B37" s="55">
        <v>49.213999999999999</v>
      </c>
      <c r="C37" s="55">
        <v>1.915</v>
      </c>
      <c r="D37" s="55">
        <v>11.388</v>
      </c>
      <c r="E37" s="55">
        <v>9.6339000000000006</v>
      </c>
      <c r="F37" s="55">
        <v>1.889</v>
      </c>
      <c r="G37" s="55">
        <v>0.189</v>
      </c>
      <c r="H37" s="55">
        <v>13.393000000000001</v>
      </c>
      <c r="I37" s="55">
        <v>9.4450000000000003</v>
      </c>
      <c r="J37">
        <v>2.1829999999999998</v>
      </c>
      <c r="K37" s="55">
        <v>0.32400000000000001</v>
      </c>
      <c r="L37" s="55">
        <v>0.219</v>
      </c>
      <c r="M37" s="55">
        <v>3.0790000000000001E-3</v>
      </c>
      <c r="N37" s="55">
        <v>0.290951707</v>
      </c>
      <c r="O37" s="55">
        <v>573.93647220000003</v>
      </c>
      <c r="P37" s="53"/>
    </row>
    <row r="38" spans="1:16" customFormat="1" ht="15" x14ac:dyDescent="0.2">
      <c r="A38" s="54" t="s">
        <v>56</v>
      </c>
      <c r="B38" s="55">
        <v>49.884999999999998</v>
      </c>
      <c r="C38" s="55">
        <v>1.9670000000000001</v>
      </c>
      <c r="D38" s="55">
        <v>11.311999999999999</v>
      </c>
      <c r="E38" s="55">
        <v>9.6321999999999992</v>
      </c>
      <c r="F38" s="55">
        <v>1.888666</v>
      </c>
      <c r="G38" s="55">
        <v>0.20899999999999999</v>
      </c>
      <c r="H38" s="55">
        <v>12.754</v>
      </c>
      <c r="I38" s="55">
        <v>9.66</v>
      </c>
      <c r="J38">
        <v>2.0430000000000001</v>
      </c>
      <c r="K38" s="55">
        <v>0.31900000000000001</v>
      </c>
      <c r="L38" s="55">
        <v>0.17199999999999999</v>
      </c>
      <c r="M38" s="55">
        <v>2.9589999999999998E-3</v>
      </c>
      <c r="N38" s="55">
        <v>0.22238149800000001</v>
      </c>
      <c r="O38" s="55">
        <v>581.66347250000001</v>
      </c>
      <c r="P38" s="53"/>
    </row>
    <row r="39" spans="1:16" customFormat="1" ht="15" x14ac:dyDescent="0.2">
      <c r="A39" s="54" t="s">
        <v>57</v>
      </c>
      <c r="B39" s="55">
        <v>49.722000000000001</v>
      </c>
      <c r="C39" s="55">
        <v>1.9770000000000001</v>
      </c>
      <c r="D39" s="55">
        <v>11.411</v>
      </c>
      <c r="E39" s="55">
        <v>9.6347500000000004</v>
      </c>
      <c r="F39" s="55">
        <v>1.8891659999999999</v>
      </c>
      <c r="G39" s="55">
        <v>0.2</v>
      </c>
      <c r="H39" s="55">
        <v>12.709</v>
      </c>
      <c r="I39" s="55">
        <v>9.7449999999999992</v>
      </c>
      <c r="J39">
        <v>2.0339999999999998</v>
      </c>
      <c r="K39" s="55">
        <v>0.34899999999999998</v>
      </c>
      <c r="L39" s="55">
        <v>0.16200000000000001</v>
      </c>
      <c r="M39" s="55">
        <v>4.1099999999999999E-3</v>
      </c>
      <c r="N39" s="55">
        <v>0.23217315799999999</v>
      </c>
      <c r="O39" s="55">
        <v>660.67061360000002</v>
      </c>
      <c r="P39" s="53"/>
    </row>
    <row r="40" spans="1:16" customFormat="1" ht="15" x14ac:dyDescent="0.2">
      <c r="A40" s="54" t="s">
        <v>58</v>
      </c>
      <c r="B40" s="55">
        <v>49.052999999999997</v>
      </c>
      <c r="C40" s="55">
        <v>2.081</v>
      </c>
      <c r="D40" s="55">
        <v>11.475</v>
      </c>
      <c r="E40" s="55">
        <v>9.6381499999999996</v>
      </c>
      <c r="F40" s="55">
        <v>1.8898330000000001</v>
      </c>
      <c r="G40" s="55">
        <v>0.16400000000000001</v>
      </c>
      <c r="H40" s="55">
        <v>13.090999999999999</v>
      </c>
      <c r="I40" s="55">
        <v>9.5609999999999999</v>
      </c>
      <c r="J40">
        <v>2.1320000000000001</v>
      </c>
      <c r="K40" s="55">
        <v>0.42199999999999999</v>
      </c>
      <c r="L40" s="55">
        <v>0.33600000000000002</v>
      </c>
      <c r="M40" s="55">
        <v>2.9390000000000002E-3</v>
      </c>
      <c r="N40" s="55">
        <v>0.22265448199999999</v>
      </c>
      <c r="O40" s="55">
        <v>667.42191969999999</v>
      </c>
      <c r="P40" s="53"/>
    </row>
    <row r="41" spans="1:16" customFormat="1" ht="15" x14ac:dyDescent="0.2">
      <c r="A41" s="54" t="s">
        <v>59</v>
      </c>
      <c r="B41" s="55">
        <v>49.673000000000002</v>
      </c>
      <c r="C41" s="55">
        <v>1.992</v>
      </c>
      <c r="D41" s="55">
        <v>11.111000000000001</v>
      </c>
      <c r="E41" s="55">
        <v>9.6356000000000002</v>
      </c>
      <c r="F41" s="55">
        <v>1.8893329999999999</v>
      </c>
      <c r="G41" s="55">
        <v>0.20200000000000001</v>
      </c>
      <c r="H41" s="55">
        <v>13.246</v>
      </c>
      <c r="I41" s="55">
        <v>9.4779999999999998</v>
      </c>
      <c r="J41">
        <v>2.0529999999999999</v>
      </c>
      <c r="K41" s="55">
        <v>0.35199999999999998</v>
      </c>
      <c r="L41" s="55">
        <v>0.21199999999999999</v>
      </c>
      <c r="M41" s="55">
        <v>2.428E-3</v>
      </c>
      <c r="N41" s="55">
        <v>0.22481178199999999</v>
      </c>
      <c r="O41" s="55">
        <v>497.20001869999999</v>
      </c>
      <c r="P41" s="53"/>
    </row>
    <row r="42" spans="1:16" customFormat="1" ht="15" x14ac:dyDescent="0.2">
      <c r="A42" s="54" t="s">
        <v>60</v>
      </c>
      <c r="B42" s="55">
        <v>49.613999999999997</v>
      </c>
      <c r="C42" s="55">
        <v>2.157</v>
      </c>
      <c r="D42" s="55">
        <v>11.618</v>
      </c>
      <c r="E42" s="55">
        <v>9.6372999999999998</v>
      </c>
      <c r="F42" s="55">
        <v>1.8896660000000001</v>
      </c>
      <c r="G42" s="55">
        <v>0.151</v>
      </c>
      <c r="H42" s="55">
        <v>12.170999999999999</v>
      </c>
      <c r="I42" s="55">
        <v>9.9359999999999999</v>
      </c>
      <c r="J42">
        <v>2.0659999999999998</v>
      </c>
      <c r="K42" s="55">
        <v>0.40600000000000003</v>
      </c>
      <c r="L42" s="55">
        <v>0.19800000000000001</v>
      </c>
      <c r="M42" s="55">
        <v>1.2130999999999999E-2</v>
      </c>
      <c r="N42" s="55">
        <v>0.21020792899999999</v>
      </c>
      <c r="O42" s="55">
        <v>815.25320350000004</v>
      </c>
      <c r="P42" s="53"/>
    </row>
    <row r="43" spans="1:16" customFormat="1" ht="15" x14ac:dyDescent="0.2">
      <c r="A43" s="54" t="s">
        <v>61</v>
      </c>
      <c r="B43" s="55">
        <v>51.219000000000001</v>
      </c>
      <c r="C43" s="55">
        <v>3.4129999999999998</v>
      </c>
      <c r="D43" s="55">
        <v>13.048</v>
      </c>
      <c r="E43" s="55">
        <v>9.6296499999999998</v>
      </c>
      <c r="F43" s="55">
        <v>1.888166</v>
      </c>
      <c r="G43" s="55">
        <v>0.223</v>
      </c>
      <c r="H43" s="55">
        <v>5.91</v>
      </c>
      <c r="I43" s="55">
        <v>10.231999999999999</v>
      </c>
      <c r="J43">
        <v>2.496</v>
      </c>
      <c r="K43" s="55">
        <v>0.52200000000000002</v>
      </c>
      <c r="L43" s="55">
        <v>0.29399999999999998</v>
      </c>
      <c r="M43" s="55">
        <v>1.2557E-2</v>
      </c>
      <c r="N43" s="55">
        <v>0.21845746599999999</v>
      </c>
      <c r="O43" s="55">
        <v>891.24438359999999</v>
      </c>
      <c r="P43" s="53"/>
    </row>
    <row r="44" spans="1:16" customFormat="1" ht="15" x14ac:dyDescent="0.2">
      <c r="A44" s="54" t="s">
        <v>62</v>
      </c>
      <c r="B44" s="55">
        <v>50.557000000000002</v>
      </c>
      <c r="C44" s="55">
        <v>2.1629999999999998</v>
      </c>
      <c r="D44" s="55">
        <v>12.827</v>
      </c>
      <c r="E44" s="55">
        <v>9.6372999999999998</v>
      </c>
      <c r="F44" s="55">
        <v>1.8896660000000001</v>
      </c>
      <c r="G44" s="55">
        <v>0.16200000000000001</v>
      </c>
      <c r="H44" s="55">
        <v>9.5269999999999992</v>
      </c>
      <c r="I44" s="55">
        <v>10.109</v>
      </c>
      <c r="J44">
        <v>2.3210000000000002</v>
      </c>
      <c r="K44" s="55">
        <v>0.438</v>
      </c>
      <c r="L44" s="55">
        <v>0.20499999999999999</v>
      </c>
      <c r="M44" s="55">
        <v>3.2880000000000001E-3</v>
      </c>
      <c r="N44" s="55">
        <v>0.208728884</v>
      </c>
      <c r="O44" s="55">
        <v>648.46889380000005</v>
      </c>
      <c r="P44" s="53"/>
    </row>
    <row r="45" spans="1:16" customFormat="1" ht="15" x14ac:dyDescent="0.2">
      <c r="A45" s="54" t="s">
        <v>63</v>
      </c>
      <c r="B45" s="55">
        <v>50.167999999999999</v>
      </c>
      <c r="C45" s="55">
        <v>2.3719999999999999</v>
      </c>
      <c r="D45" s="55">
        <v>12.643000000000001</v>
      </c>
      <c r="E45" s="55">
        <v>9.6321999999999992</v>
      </c>
      <c r="F45" s="55">
        <v>1.888666</v>
      </c>
      <c r="G45" s="55">
        <v>0.25600000000000001</v>
      </c>
      <c r="H45" s="55">
        <v>9.0039999999999996</v>
      </c>
      <c r="I45" s="55">
        <v>11.013999999999999</v>
      </c>
      <c r="J45">
        <v>2.1030000000000002</v>
      </c>
      <c r="K45" s="55">
        <v>0.45900000000000002</v>
      </c>
      <c r="L45" s="55">
        <v>0.25800000000000001</v>
      </c>
      <c r="M45" s="55">
        <v>9.5720000000000006E-3</v>
      </c>
      <c r="N45" s="55">
        <v>0.242595265</v>
      </c>
      <c r="O45" s="55">
        <v>855.55813250000006</v>
      </c>
      <c r="P45" s="53"/>
    </row>
    <row r="46" spans="1:16" customFormat="1" ht="15" x14ac:dyDescent="0.2">
      <c r="A46" s="54" t="s">
        <v>64</v>
      </c>
      <c r="B46" s="55">
        <v>50.838000000000001</v>
      </c>
      <c r="C46" s="55">
        <v>2.4700000000000002</v>
      </c>
      <c r="D46" s="55">
        <v>12.907</v>
      </c>
      <c r="E46" s="55">
        <v>9.6372999999999998</v>
      </c>
      <c r="F46" s="55">
        <v>1.8896660000000001</v>
      </c>
      <c r="G46" s="55">
        <v>0.129</v>
      </c>
      <c r="H46" s="55">
        <v>8.4309999999999992</v>
      </c>
      <c r="I46" s="55">
        <v>10.193</v>
      </c>
      <c r="J46">
        <v>2.633</v>
      </c>
      <c r="K46" s="55">
        <v>0.39200000000000002</v>
      </c>
      <c r="L46" s="55">
        <v>0.28100000000000003</v>
      </c>
      <c r="M46" s="55">
        <v>1.2581999999999999E-2</v>
      </c>
      <c r="N46" s="55">
        <v>0.232211795</v>
      </c>
      <c r="O46" s="55">
        <v>1087.290538</v>
      </c>
      <c r="P46" s="53"/>
    </row>
    <row r="47" spans="1:16" customFormat="1" ht="15" x14ac:dyDescent="0.2">
      <c r="A47" s="54" t="s">
        <v>65</v>
      </c>
      <c r="B47" s="55">
        <v>49.279000000000003</v>
      </c>
      <c r="C47" s="55">
        <v>2.0099999999999998</v>
      </c>
      <c r="D47" s="55">
        <v>11.686999999999999</v>
      </c>
      <c r="E47" s="55">
        <v>9.6356000000000002</v>
      </c>
      <c r="F47" s="55">
        <v>1.8893329999999999</v>
      </c>
      <c r="G47" s="55">
        <v>0.17899999999999999</v>
      </c>
      <c r="H47" s="55">
        <v>12.568</v>
      </c>
      <c r="I47" s="55">
        <v>10.003</v>
      </c>
      <c r="J47">
        <v>2.1190000000000002</v>
      </c>
      <c r="K47" s="55">
        <v>0.316</v>
      </c>
      <c r="L47" s="55">
        <v>0.14299999999999999</v>
      </c>
      <c r="M47" s="55">
        <v>2.6587E-2</v>
      </c>
      <c r="N47" s="55">
        <v>0.232940694</v>
      </c>
      <c r="O47" s="55">
        <v>676.79661320000002</v>
      </c>
      <c r="P47" s="53"/>
    </row>
    <row r="48" spans="1:16" customFormat="1" ht="15" x14ac:dyDescent="0.2">
      <c r="A48" s="54" t="s">
        <v>66</v>
      </c>
      <c r="B48" s="55">
        <v>49.762</v>
      </c>
      <c r="C48" s="55">
        <v>2.0659999999999998</v>
      </c>
      <c r="D48" s="55">
        <v>11.528</v>
      </c>
      <c r="E48" s="55">
        <v>9.6313499999999994</v>
      </c>
      <c r="F48" s="55">
        <v>1.8885000000000001</v>
      </c>
      <c r="G48" s="55">
        <v>0.19800000000000001</v>
      </c>
      <c r="H48" s="55">
        <v>12.121</v>
      </c>
      <c r="I48" s="55">
        <v>9.7729999999999997</v>
      </c>
      <c r="J48">
        <v>2.2469999999999999</v>
      </c>
      <c r="K48" s="55">
        <v>0.34599999999999997</v>
      </c>
      <c r="L48" s="55">
        <v>0.26500000000000001</v>
      </c>
      <c r="M48" s="55">
        <v>3.7458999999999999E-2</v>
      </c>
      <c r="N48" s="55">
        <v>0.23462444900000001</v>
      </c>
      <c r="O48" s="55">
        <v>612.77663189999998</v>
      </c>
      <c r="P48" s="53"/>
    </row>
    <row r="49" spans="1:16" customFormat="1" ht="15" x14ac:dyDescent="0.2">
      <c r="A49" s="54" t="s">
        <v>67</v>
      </c>
      <c r="B49" s="55">
        <v>49.22</v>
      </c>
      <c r="C49" s="55">
        <v>2.121</v>
      </c>
      <c r="D49" s="55">
        <v>11.372</v>
      </c>
      <c r="E49" s="55">
        <v>9.63645</v>
      </c>
      <c r="F49" s="55">
        <v>1.8895</v>
      </c>
      <c r="G49" s="55">
        <v>0.156</v>
      </c>
      <c r="H49" s="55">
        <v>12.629</v>
      </c>
      <c r="I49" s="55">
        <v>9.9789999999999992</v>
      </c>
      <c r="J49">
        <v>2.1619999999999999</v>
      </c>
      <c r="K49" s="55">
        <v>0.38</v>
      </c>
      <c r="L49" s="55">
        <v>0.29599999999999999</v>
      </c>
      <c r="M49" s="55">
        <v>5.2770999999999998E-2</v>
      </c>
      <c r="N49" s="55">
        <v>0.21806204200000001</v>
      </c>
      <c r="O49" s="55">
        <v>530.87831240000003</v>
      </c>
      <c r="P49" s="53"/>
    </row>
    <row r="50" spans="1:16" customFormat="1" ht="15" x14ac:dyDescent="0.2">
      <c r="A50" s="54" t="s">
        <v>68</v>
      </c>
      <c r="B50" s="55">
        <v>49.561</v>
      </c>
      <c r="C50" s="55">
        <v>1.972</v>
      </c>
      <c r="D50" s="55">
        <v>11.289</v>
      </c>
      <c r="E50" s="55">
        <v>9.6313499999999994</v>
      </c>
      <c r="F50" s="55">
        <v>1.8885000000000001</v>
      </c>
      <c r="G50" s="55">
        <v>0.20399999999999999</v>
      </c>
      <c r="H50" s="55">
        <v>13.074999999999999</v>
      </c>
      <c r="I50" s="55">
        <v>9.4359999999999999</v>
      </c>
      <c r="J50">
        <v>2.2010000000000001</v>
      </c>
      <c r="K50" s="55">
        <v>0.35499999999999998</v>
      </c>
      <c r="L50" s="55">
        <v>0.224</v>
      </c>
      <c r="M50" s="55">
        <v>6.2814999999999996E-2</v>
      </c>
      <c r="N50" s="55">
        <v>0.23197408899999999</v>
      </c>
      <c r="O50" s="55">
        <v>535.57206510000003</v>
      </c>
      <c r="P50" s="53"/>
    </row>
    <row r="51" spans="1:16" customFormat="1" ht="15" x14ac:dyDescent="0.2">
      <c r="A51" s="54" t="s">
        <v>69</v>
      </c>
      <c r="B51" s="55">
        <v>49.585000000000001</v>
      </c>
      <c r="C51" s="55">
        <v>2.282</v>
      </c>
      <c r="D51" s="55">
        <v>12.839</v>
      </c>
      <c r="E51" s="55">
        <v>9.6424000000000003</v>
      </c>
      <c r="F51" s="55">
        <v>1.890666</v>
      </c>
      <c r="G51" s="55">
        <v>0.14399999999999999</v>
      </c>
      <c r="H51" s="55">
        <v>9.9060000000000006</v>
      </c>
      <c r="I51" s="55">
        <v>10.462999999999999</v>
      </c>
      <c r="J51">
        <v>2.3479999999999999</v>
      </c>
      <c r="K51" s="55">
        <v>0.47699999999999998</v>
      </c>
      <c r="L51" s="55">
        <v>0.24299999999999999</v>
      </c>
      <c r="M51" s="55">
        <v>2.4219000000000001E-2</v>
      </c>
      <c r="N51" s="55">
        <v>0.22250645299999999</v>
      </c>
      <c r="O51" s="55">
        <v>881.70362369999998</v>
      </c>
      <c r="P51" s="53"/>
    </row>
    <row r="52" spans="1:16" customFormat="1" ht="15" x14ac:dyDescent="0.2">
      <c r="A52" s="54" t="s">
        <v>70</v>
      </c>
      <c r="B52" s="55">
        <v>49.191000000000003</v>
      </c>
      <c r="C52" s="55">
        <v>1.958</v>
      </c>
      <c r="D52" s="55">
        <v>11.521000000000001</v>
      </c>
      <c r="E52" s="55">
        <v>9.6330500000000008</v>
      </c>
      <c r="F52" s="55">
        <v>1.888833</v>
      </c>
      <c r="G52" s="55">
        <v>0.156</v>
      </c>
      <c r="H52" s="55">
        <v>12.795999999999999</v>
      </c>
      <c r="I52" s="55">
        <v>9.7029999999999994</v>
      </c>
      <c r="J52">
        <v>2.2629999999999999</v>
      </c>
      <c r="K52" s="55">
        <v>0.39300000000000002</v>
      </c>
      <c r="L52" s="55">
        <v>0.33</v>
      </c>
      <c r="M52" s="55">
        <v>5.3324000000000003E-2</v>
      </c>
      <c r="N52" s="55">
        <v>0.230675877</v>
      </c>
      <c r="O52" s="55">
        <v>622.39120290000005</v>
      </c>
      <c r="P52" s="53"/>
    </row>
    <row r="53" spans="1:16" customFormat="1" ht="15" x14ac:dyDescent="0.2">
      <c r="A53" s="54" t="s">
        <v>71</v>
      </c>
      <c r="B53" s="55">
        <v>49.356999999999999</v>
      </c>
      <c r="C53" s="55">
        <v>2.1389999999999998</v>
      </c>
      <c r="D53" s="55">
        <v>11.760999999999999</v>
      </c>
      <c r="E53" s="55">
        <v>9.6304999999999996</v>
      </c>
      <c r="F53" s="55">
        <v>1.888333</v>
      </c>
      <c r="G53" s="55">
        <v>0.19</v>
      </c>
      <c r="H53" s="55">
        <v>12.228999999999999</v>
      </c>
      <c r="I53" s="55">
        <v>9.8249999999999993</v>
      </c>
      <c r="J53">
        <v>2.1920000000000002</v>
      </c>
      <c r="K53" s="55">
        <v>0.40400000000000003</v>
      </c>
      <c r="L53" s="55">
        <v>0.218</v>
      </c>
      <c r="M53" s="55">
        <v>4.0124E-2</v>
      </c>
      <c r="N53" s="55">
        <v>0.22473539100000001</v>
      </c>
      <c r="O53" s="55">
        <v>590.91985179999995</v>
      </c>
      <c r="P53" s="53"/>
    </row>
    <row r="54" spans="1:16" customFormat="1" ht="15" x14ac:dyDescent="0.2">
      <c r="A54" s="54" t="s">
        <v>72</v>
      </c>
      <c r="B54" s="55">
        <v>50.027999999999999</v>
      </c>
      <c r="C54" s="55">
        <v>2.5249999999999999</v>
      </c>
      <c r="D54" s="55">
        <v>11.952999999999999</v>
      </c>
      <c r="E54" s="55">
        <v>9.6313499999999994</v>
      </c>
      <c r="F54" s="55">
        <v>1.8885000000000001</v>
      </c>
      <c r="G54" s="55">
        <v>0.16700000000000001</v>
      </c>
      <c r="H54" s="55">
        <v>10.29</v>
      </c>
      <c r="I54" s="55">
        <v>10.301</v>
      </c>
      <c r="J54">
        <v>2.3279999999999998</v>
      </c>
      <c r="K54" s="55">
        <v>0.47599999999999998</v>
      </c>
      <c r="L54" s="55">
        <v>0.23699999999999999</v>
      </c>
      <c r="M54" s="55">
        <v>1.8565999999999999E-2</v>
      </c>
      <c r="N54" s="55">
        <v>0.21605998300000001</v>
      </c>
      <c r="O54" s="55">
        <v>861.5651646</v>
      </c>
      <c r="P54" s="53"/>
    </row>
    <row r="55" spans="1:16" customFormat="1" ht="15" x14ac:dyDescent="0.2">
      <c r="A55" s="54" t="s">
        <v>73</v>
      </c>
      <c r="B55" s="55">
        <v>49.597999999999999</v>
      </c>
      <c r="C55" s="55">
        <v>2.1419999999999999</v>
      </c>
      <c r="D55" s="55">
        <v>11.897</v>
      </c>
      <c r="E55" s="55">
        <v>9.6339000000000006</v>
      </c>
      <c r="F55" s="55">
        <v>1.889</v>
      </c>
      <c r="G55" s="55">
        <v>0.16300000000000001</v>
      </c>
      <c r="H55" s="55">
        <v>11.625</v>
      </c>
      <c r="I55" s="55">
        <v>10.205</v>
      </c>
      <c r="J55">
        <v>2.0699999999999998</v>
      </c>
      <c r="K55" s="55">
        <v>0.35199999999999998</v>
      </c>
      <c r="L55" s="55">
        <v>0.25600000000000001</v>
      </c>
      <c r="M55" s="55">
        <v>2.1589000000000001E-2</v>
      </c>
      <c r="N55" s="55">
        <v>0.227263672</v>
      </c>
      <c r="O55" s="55">
        <v>347.16445470000002</v>
      </c>
      <c r="P55" s="53"/>
    </row>
    <row r="56" spans="1:16" customFormat="1" ht="15" x14ac:dyDescent="0.2">
      <c r="A56" s="54" t="s">
        <v>74</v>
      </c>
      <c r="B56" s="55">
        <v>49.316000000000003</v>
      </c>
      <c r="C56" s="55">
        <v>2.218</v>
      </c>
      <c r="D56" s="55">
        <v>12.237</v>
      </c>
      <c r="E56" s="55">
        <v>9.6389999999999993</v>
      </c>
      <c r="F56" s="55">
        <v>1.89</v>
      </c>
      <c r="G56" s="55">
        <v>0.16900000000000001</v>
      </c>
      <c r="H56" s="55">
        <v>11.173</v>
      </c>
      <c r="I56" s="55">
        <v>10.382</v>
      </c>
      <c r="J56">
        <v>2.1760000000000002</v>
      </c>
      <c r="K56" s="55">
        <v>0.40500000000000003</v>
      </c>
      <c r="L56" s="55">
        <v>0.222</v>
      </c>
      <c r="M56" s="55">
        <v>3.5199000000000001E-2</v>
      </c>
      <c r="N56" s="55">
        <v>0.227243361</v>
      </c>
      <c r="O56" s="55">
        <v>289.071394</v>
      </c>
      <c r="P56" s="53"/>
    </row>
    <row r="57" spans="1:16" customFormat="1" ht="15" x14ac:dyDescent="0.2">
      <c r="A57" s="54" t="s">
        <v>75</v>
      </c>
      <c r="B57" s="55">
        <v>49.445999999999998</v>
      </c>
      <c r="C57" s="55">
        <v>1.915</v>
      </c>
      <c r="D57" s="55">
        <v>11.52</v>
      </c>
      <c r="E57" s="55">
        <v>9.6347500000000004</v>
      </c>
      <c r="F57" s="55">
        <v>1.8891659999999999</v>
      </c>
      <c r="G57" s="55">
        <v>0.13500000000000001</v>
      </c>
      <c r="H57" s="55">
        <v>13.147</v>
      </c>
      <c r="I57" s="55">
        <v>9.4369999999999994</v>
      </c>
      <c r="J57">
        <v>2.1739999999999999</v>
      </c>
      <c r="K57" s="55">
        <v>0.307</v>
      </c>
      <c r="L57" s="55">
        <v>0.218</v>
      </c>
      <c r="M57" s="55">
        <v>7.9154000000000002E-2</v>
      </c>
      <c r="N57" s="55">
        <v>0.250218779</v>
      </c>
      <c r="O57" s="55">
        <v>565.08241310000005</v>
      </c>
      <c r="P57" s="53"/>
    </row>
    <row r="58" spans="1:16" customFormat="1" ht="15" x14ac:dyDescent="0.2">
      <c r="A58" s="54" t="s">
        <v>76</v>
      </c>
      <c r="B58" s="55">
        <v>49.427999999999997</v>
      </c>
      <c r="C58" s="55">
        <v>2.4569999999999999</v>
      </c>
      <c r="D58" s="55">
        <v>11.701000000000001</v>
      </c>
      <c r="E58" s="55">
        <v>9.6339000000000006</v>
      </c>
      <c r="F58" s="55">
        <v>1.889</v>
      </c>
      <c r="G58" s="55">
        <v>0.186</v>
      </c>
      <c r="H58" s="55">
        <v>11.497999999999999</v>
      </c>
      <c r="I58" s="55">
        <v>10.148999999999999</v>
      </c>
      <c r="J58">
        <v>2.1659999999999999</v>
      </c>
      <c r="K58" s="55">
        <v>0.48399999999999999</v>
      </c>
      <c r="L58" s="55">
        <v>0.26700000000000002</v>
      </c>
      <c r="M58" s="55">
        <v>6.1536E-2</v>
      </c>
      <c r="N58" s="55">
        <v>0.191784443</v>
      </c>
      <c r="O58" s="55">
        <v>538.30124239999998</v>
      </c>
      <c r="P58" s="53"/>
    </row>
    <row r="59" spans="1:16" customFormat="1" ht="15" x14ac:dyDescent="0.2">
      <c r="A59" s="54" t="s">
        <v>77</v>
      </c>
      <c r="B59" s="55">
        <v>49.37</v>
      </c>
      <c r="C59" s="55">
        <v>1.96</v>
      </c>
      <c r="D59" s="55">
        <v>11.364000000000001</v>
      </c>
      <c r="E59" s="55">
        <v>9.6321999999999992</v>
      </c>
      <c r="F59" s="55">
        <v>1.888666</v>
      </c>
      <c r="G59" s="55">
        <v>0.153</v>
      </c>
      <c r="H59" s="55">
        <v>13.282999999999999</v>
      </c>
      <c r="I59" s="55">
        <v>9.6319999999999997</v>
      </c>
      <c r="J59">
        <v>2.0579999999999998</v>
      </c>
      <c r="K59" s="55">
        <v>0.29799999999999999</v>
      </c>
      <c r="L59" s="55">
        <v>0.20699999999999999</v>
      </c>
      <c r="M59" s="55">
        <v>6.4607999999999999E-2</v>
      </c>
      <c r="N59" s="55">
        <v>0.220878874</v>
      </c>
      <c r="O59" s="55">
        <v>614.21250210000005</v>
      </c>
      <c r="P59" s="53"/>
    </row>
    <row r="60" spans="1:16" customFormat="1" ht="15" x14ac:dyDescent="0.2">
      <c r="A60" s="54" t="s">
        <v>78</v>
      </c>
      <c r="B60" s="55">
        <v>50.008000000000003</v>
      </c>
      <c r="C60" s="55">
        <v>2.0590000000000002</v>
      </c>
      <c r="D60" s="55">
        <v>11.842000000000001</v>
      </c>
      <c r="E60" s="55">
        <v>9.6372999999999998</v>
      </c>
      <c r="F60" s="55">
        <v>1.8896660000000001</v>
      </c>
      <c r="G60" s="55">
        <v>0.17299999999999999</v>
      </c>
      <c r="H60" s="55">
        <v>11.378</v>
      </c>
      <c r="I60" s="55">
        <v>9.9990000000000006</v>
      </c>
      <c r="J60">
        <v>2.2759999999999998</v>
      </c>
      <c r="K60" s="55">
        <v>0.38500000000000001</v>
      </c>
      <c r="L60" s="55">
        <v>0.186</v>
      </c>
      <c r="M60" s="55">
        <v>2.8400000000000001E-3</v>
      </c>
      <c r="N60" s="55">
        <v>0.215176906</v>
      </c>
      <c r="O60" s="55">
        <v>808.97223680000002</v>
      </c>
      <c r="P60" s="53"/>
    </row>
    <row r="61" spans="1:16" customFormat="1" ht="15" x14ac:dyDescent="0.2">
      <c r="A61" s="54" t="s">
        <v>79</v>
      </c>
      <c r="B61" s="55">
        <v>49.996000000000002</v>
      </c>
      <c r="C61" s="55">
        <v>2.0459999999999998</v>
      </c>
      <c r="D61" s="55">
        <v>12.364000000000001</v>
      </c>
      <c r="E61" s="55">
        <v>9.6372999999999998</v>
      </c>
      <c r="F61" s="55">
        <v>1.8896660000000001</v>
      </c>
      <c r="G61" s="55">
        <v>0.185</v>
      </c>
      <c r="H61" s="55">
        <v>10.871</v>
      </c>
      <c r="I61" s="55">
        <v>9.9640000000000004</v>
      </c>
      <c r="J61">
        <v>2.294</v>
      </c>
      <c r="K61" s="55">
        <v>0.38800000000000001</v>
      </c>
      <c r="L61" s="55">
        <v>0.20599999999999999</v>
      </c>
      <c r="M61" s="55">
        <v>4.2680000000000001E-3</v>
      </c>
      <c r="N61" s="55">
        <v>0.21236977700000001</v>
      </c>
      <c r="O61" s="55">
        <v>693.90145040000004</v>
      </c>
      <c r="P61" s="53"/>
    </row>
    <row r="62" spans="1:16" customFormat="1" ht="15" x14ac:dyDescent="0.2">
      <c r="A62" s="54" t="s">
        <v>80</v>
      </c>
      <c r="B62" s="55">
        <v>48.790999999999997</v>
      </c>
      <c r="C62" s="55">
        <v>2.048</v>
      </c>
      <c r="D62" s="55">
        <v>11.311</v>
      </c>
      <c r="E62" s="55">
        <v>9.6330500000000008</v>
      </c>
      <c r="F62" s="55">
        <v>1.888833</v>
      </c>
      <c r="G62" s="55">
        <v>0.189</v>
      </c>
      <c r="H62" s="55">
        <v>12.263999999999999</v>
      </c>
      <c r="I62" s="55">
        <v>10.946</v>
      </c>
      <c r="J62">
        <v>2.173</v>
      </c>
      <c r="K62" s="55">
        <v>0.32100000000000001</v>
      </c>
      <c r="L62" s="55">
        <v>0.27800000000000002</v>
      </c>
      <c r="M62" s="55">
        <v>5.3169999999999997E-3</v>
      </c>
      <c r="N62" s="55">
        <v>0.20288979500000001</v>
      </c>
      <c r="O62" s="55">
        <v>649.37499590000004</v>
      </c>
      <c r="P62" s="53"/>
    </row>
    <row r="63" spans="1:16" customFormat="1" ht="15" x14ac:dyDescent="0.2">
      <c r="A63" s="54" t="s">
        <v>81</v>
      </c>
      <c r="B63" s="55">
        <v>50.027000000000001</v>
      </c>
      <c r="C63" s="55">
        <v>2.032</v>
      </c>
      <c r="D63" s="55">
        <v>11.837999999999999</v>
      </c>
      <c r="E63" s="55">
        <v>9.6356000000000002</v>
      </c>
      <c r="F63" s="55">
        <v>1.8893329999999999</v>
      </c>
      <c r="G63" s="55">
        <v>0.17399999999999999</v>
      </c>
      <c r="H63" s="55">
        <v>11.39</v>
      </c>
      <c r="I63" s="55">
        <v>10.051</v>
      </c>
      <c r="J63">
        <v>2.3889999999999998</v>
      </c>
      <c r="K63" s="55">
        <v>0.375</v>
      </c>
      <c r="L63" s="55">
        <v>0.21</v>
      </c>
      <c r="M63" s="55">
        <v>0</v>
      </c>
      <c r="N63" s="54"/>
      <c r="O63" s="55">
        <v>745.43958599999996</v>
      </c>
      <c r="P63" s="53"/>
    </row>
    <row r="64" spans="1:16" customFormat="1" ht="15" x14ac:dyDescent="0.2">
      <c r="A64" s="54" t="s">
        <v>82</v>
      </c>
      <c r="B64" s="55">
        <v>49.73</v>
      </c>
      <c r="C64" s="55">
        <v>1.869</v>
      </c>
      <c r="D64" s="55">
        <v>11.045999999999999</v>
      </c>
      <c r="E64" s="55">
        <v>9.6356000000000002</v>
      </c>
      <c r="F64" s="55">
        <v>1.8893329999999999</v>
      </c>
      <c r="G64" s="55">
        <v>0.13500000000000001</v>
      </c>
      <c r="H64" s="55">
        <v>13.7</v>
      </c>
      <c r="I64" s="55">
        <v>9.3949999999999996</v>
      </c>
      <c r="J64">
        <v>2.089</v>
      </c>
      <c r="K64" s="55">
        <v>0.28699999999999998</v>
      </c>
      <c r="L64" s="55">
        <v>0.24099999999999999</v>
      </c>
      <c r="M64" s="55">
        <v>0</v>
      </c>
      <c r="N64" s="54"/>
      <c r="O64" s="55">
        <v>543.93642360000001</v>
      </c>
      <c r="P64" s="53"/>
    </row>
    <row r="65" spans="1:16" customFormat="1" ht="15" x14ac:dyDescent="0.2">
      <c r="A65" s="54" t="s">
        <v>83</v>
      </c>
      <c r="B65" s="55">
        <v>51.012999999999998</v>
      </c>
      <c r="C65" s="55">
        <v>2.4220000000000002</v>
      </c>
      <c r="D65" s="55">
        <v>12.885</v>
      </c>
      <c r="E65" s="55">
        <v>9.6330500000000008</v>
      </c>
      <c r="F65" s="55">
        <v>1.888833</v>
      </c>
      <c r="G65" s="55">
        <v>0.214</v>
      </c>
      <c r="H65" s="55">
        <v>7.6660000000000004</v>
      </c>
      <c r="I65" s="55">
        <v>11.233000000000001</v>
      </c>
      <c r="J65">
        <v>2.2010000000000001</v>
      </c>
      <c r="K65" s="55">
        <v>0.40400000000000003</v>
      </c>
      <c r="L65" s="55">
        <v>0.246</v>
      </c>
      <c r="M65" s="55">
        <v>9.8499999999999998E-4</v>
      </c>
      <c r="N65" s="55">
        <v>0.23043870999999999</v>
      </c>
      <c r="O65" s="55">
        <v>206.3925859</v>
      </c>
      <c r="P65" s="53"/>
    </row>
    <row r="66" spans="1:16" customFormat="1" ht="15" x14ac:dyDescent="0.2">
      <c r="A66" s="54" t="s">
        <v>84</v>
      </c>
      <c r="B66" s="55">
        <v>51.167000000000002</v>
      </c>
      <c r="C66" s="55">
        <v>2.3759999999999999</v>
      </c>
      <c r="D66" s="55">
        <v>12.879</v>
      </c>
      <c r="E66" s="55">
        <v>9.6678999999999995</v>
      </c>
      <c r="F66" s="55">
        <v>1.8956660000000001</v>
      </c>
      <c r="G66" s="55">
        <v>0.188</v>
      </c>
      <c r="H66" s="55">
        <v>7.7279999999999998</v>
      </c>
      <c r="I66" s="55">
        <v>11.084</v>
      </c>
      <c r="J66">
        <v>2.1760000000000002</v>
      </c>
      <c r="K66" s="55">
        <v>0.40500000000000003</v>
      </c>
      <c r="L66" s="55">
        <v>0.24399999999999999</v>
      </c>
      <c r="M66" s="55">
        <v>1.8103999999999999E-2</v>
      </c>
      <c r="N66" s="55">
        <v>0.218654035</v>
      </c>
      <c r="O66" s="55">
        <v>350.8833616</v>
      </c>
      <c r="P66" s="53"/>
    </row>
    <row r="67" spans="1:16" customFormat="1" ht="15" x14ac:dyDescent="0.2">
      <c r="A67" s="54" t="s">
        <v>85</v>
      </c>
      <c r="B67" s="55">
        <v>51.445999999999998</v>
      </c>
      <c r="C67" s="55">
        <v>2.536</v>
      </c>
      <c r="D67" s="55">
        <v>13.028</v>
      </c>
      <c r="E67" s="55">
        <v>9.63645</v>
      </c>
      <c r="F67" s="55">
        <v>1.8895</v>
      </c>
      <c r="G67" s="55">
        <v>0.152</v>
      </c>
      <c r="H67" s="55">
        <v>7.6820000000000004</v>
      </c>
      <c r="I67" s="55">
        <v>10.541</v>
      </c>
      <c r="J67">
        <v>2.2959999999999998</v>
      </c>
      <c r="K67" s="55">
        <v>0.503</v>
      </c>
      <c r="L67" s="55">
        <v>0.219</v>
      </c>
      <c r="M67" s="55">
        <v>3.1528E-2</v>
      </c>
      <c r="N67" s="55">
        <v>9.2799697E-2</v>
      </c>
      <c r="O67" s="55">
        <v>577.46307690000003</v>
      </c>
      <c r="P67" s="53"/>
    </row>
    <row r="68" spans="1:16" customFormat="1" ht="15" x14ac:dyDescent="0.2">
      <c r="A68" s="54" t="s">
        <v>86</v>
      </c>
      <c r="B68" s="55">
        <v>51.231999999999999</v>
      </c>
      <c r="C68" s="55">
        <v>2.5190000000000001</v>
      </c>
      <c r="D68" s="55">
        <v>13.068</v>
      </c>
      <c r="E68" s="55">
        <v>9.6372999999999998</v>
      </c>
      <c r="F68" s="55">
        <v>1.8896660000000001</v>
      </c>
      <c r="G68" s="55">
        <v>0.158</v>
      </c>
      <c r="H68" s="55">
        <v>7.6829999999999998</v>
      </c>
      <c r="I68" s="55">
        <v>10.816000000000001</v>
      </c>
      <c r="J68">
        <v>2.2480000000000002</v>
      </c>
      <c r="K68" s="55">
        <v>0.434</v>
      </c>
      <c r="L68" s="55">
        <v>0.249</v>
      </c>
      <c r="M68" s="55">
        <v>2.3487999999999998E-2</v>
      </c>
      <c r="N68" s="55">
        <v>9.0596302000000004E-2</v>
      </c>
      <c r="O68" s="55">
        <v>585.21511610000005</v>
      </c>
      <c r="P68" s="53"/>
    </row>
    <row r="69" spans="1:16" customFormat="1" ht="15" x14ac:dyDescent="0.2">
      <c r="A69" s="54" t="s">
        <v>87</v>
      </c>
      <c r="B69" s="55">
        <v>49.73</v>
      </c>
      <c r="C69" s="55">
        <v>2.1659999999999999</v>
      </c>
      <c r="D69" s="55">
        <v>12.019</v>
      </c>
      <c r="E69" s="55">
        <v>9.6313499999999994</v>
      </c>
      <c r="F69" s="55">
        <v>1.8885000000000001</v>
      </c>
      <c r="G69" s="55">
        <v>0.254</v>
      </c>
      <c r="H69" s="55">
        <v>11.073</v>
      </c>
      <c r="I69" s="55">
        <v>10.214</v>
      </c>
      <c r="J69">
        <v>2.242</v>
      </c>
      <c r="K69" s="55">
        <v>0.34</v>
      </c>
      <c r="L69" s="55">
        <v>0.26100000000000001</v>
      </c>
      <c r="M69" s="55">
        <v>2.9069999999999999E-3</v>
      </c>
      <c r="N69" s="55">
        <v>0.24072898500000001</v>
      </c>
      <c r="O69" s="55">
        <v>719.92981499999996</v>
      </c>
      <c r="P69" s="53"/>
    </row>
    <row r="70" spans="1:16" customFormat="1" ht="15" x14ac:dyDescent="0.2">
      <c r="A70" s="54" t="s">
        <v>88</v>
      </c>
      <c r="B70" s="55">
        <v>50.000999999999998</v>
      </c>
      <c r="C70" s="55">
        <v>2.1309999999999998</v>
      </c>
      <c r="D70" s="55">
        <v>11.749000000000001</v>
      </c>
      <c r="E70" s="55">
        <v>9.6372999999999998</v>
      </c>
      <c r="F70" s="55">
        <v>1.8896660000000001</v>
      </c>
      <c r="G70" s="55">
        <v>0.16800000000000001</v>
      </c>
      <c r="H70" s="55">
        <v>11.016999999999999</v>
      </c>
      <c r="I70" s="55">
        <v>10.317</v>
      </c>
      <c r="J70">
        <v>2.3290000000000002</v>
      </c>
      <c r="K70" s="55">
        <v>0.38300000000000001</v>
      </c>
      <c r="L70" s="55">
        <v>0.19700000000000001</v>
      </c>
      <c r="M70" s="55">
        <v>3.6419999999999998E-3</v>
      </c>
      <c r="N70" s="55">
        <v>0.237600107</v>
      </c>
      <c r="O70" s="55">
        <v>736.91836149999995</v>
      </c>
      <c r="P70" s="53"/>
    </row>
    <row r="71" spans="1:16" customFormat="1" ht="15" x14ac:dyDescent="0.2">
      <c r="A71" s="54" t="s">
        <v>89</v>
      </c>
      <c r="B71" s="55">
        <v>49.206000000000003</v>
      </c>
      <c r="C71" s="55">
        <v>2.6549999999999998</v>
      </c>
      <c r="D71" s="55">
        <v>12.17</v>
      </c>
      <c r="E71" s="55">
        <v>9.6407000000000007</v>
      </c>
      <c r="F71" s="55">
        <v>1.890333</v>
      </c>
      <c r="G71" s="55">
        <v>0.158</v>
      </c>
      <c r="H71" s="55">
        <v>11.163</v>
      </c>
      <c r="I71" s="55">
        <v>10.173</v>
      </c>
      <c r="J71">
        <v>2.0459999999999998</v>
      </c>
      <c r="K71" s="55">
        <v>0.308</v>
      </c>
      <c r="L71" s="55">
        <v>0.41499999999999998</v>
      </c>
      <c r="M71" s="55">
        <v>6.0530000000000002E-3</v>
      </c>
      <c r="N71" s="55">
        <v>0.240661124</v>
      </c>
      <c r="O71" s="55">
        <v>758.0293494</v>
      </c>
      <c r="P71" s="53"/>
    </row>
    <row r="72" spans="1:16" customFormat="1" ht="15" x14ac:dyDescent="0.2">
      <c r="A72" s="54" t="s">
        <v>90</v>
      </c>
      <c r="B72" s="55">
        <v>49.329000000000001</v>
      </c>
      <c r="C72" s="55">
        <v>2.218</v>
      </c>
      <c r="D72" s="55">
        <v>13.395</v>
      </c>
      <c r="E72" s="55">
        <v>9.6321999999999992</v>
      </c>
      <c r="F72" s="55">
        <v>1.888666</v>
      </c>
      <c r="G72" s="55">
        <v>0.184</v>
      </c>
      <c r="H72" s="55">
        <v>8.8659999999999997</v>
      </c>
      <c r="I72" s="55">
        <v>11.143000000000001</v>
      </c>
      <c r="J72">
        <v>2.2320000000000002</v>
      </c>
      <c r="K72" s="55">
        <v>0.49099999999999999</v>
      </c>
      <c r="L72" s="55">
        <v>0.41899999999999998</v>
      </c>
      <c r="M72" s="55">
        <v>1.5767E-2</v>
      </c>
      <c r="N72" s="55">
        <v>0.238556777</v>
      </c>
      <c r="O72" s="55">
        <v>900.08625470000004</v>
      </c>
      <c r="P72" s="53"/>
    </row>
    <row r="73" spans="1:16" customFormat="1" ht="15" x14ac:dyDescent="0.2">
      <c r="A73" s="54" t="s">
        <v>91</v>
      </c>
      <c r="B73" s="55">
        <v>49.753999999999998</v>
      </c>
      <c r="C73" s="55">
        <v>2.681</v>
      </c>
      <c r="D73" s="55">
        <v>13.085000000000001</v>
      </c>
      <c r="E73" s="55">
        <v>9.6321999999999992</v>
      </c>
      <c r="F73" s="55">
        <v>1.888666</v>
      </c>
      <c r="G73" s="55">
        <v>0.249</v>
      </c>
      <c r="H73" s="55">
        <v>9.1839999999999993</v>
      </c>
      <c r="I73" s="55">
        <v>10.218</v>
      </c>
      <c r="J73">
        <v>2.3570000000000002</v>
      </c>
      <c r="K73" s="55">
        <v>0.51700000000000002</v>
      </c>
      <c r="L73" s="55">
        <v>0.25600000000000001</v>
      </c>
      <c r="M73" s="55">
        <v>2.0053000000000001E-2</v>
      </c>
      <c r="N73" s="55">
        <v>0.23640328899999999</v>
      </c>
      <c r="O73" s="55">
        <v>1088.2490009999999</v>
      </c>
      <c r="P73" s="53"/>
    </row>
    <row r="74" spans="1:16" customFormat="1" ht="15" x14ac:dyDescent="0.2">
      <c r="A74" s="54" t="s">
        <v>92</v>
      </c>
      <c r="B74" s="55">
        <v>49.77</v>
      </c>
      <c r="C74" s="55">
        <v>2.3940000000000001</v>
      </c>
      <c r="D74" s="55">
        <v>12.9</v>
      </c>
      <c r="E74" s="55">
        <v>9.6356000000000002</v>
      </c>
      <c r="F74" s="55">
        <v>1.8893329999999999</v>
      </c>
      <c r="G74" s="55">
        <v>0.14199999999999999</v>
      </c>
      <c r="H74" s="55">
        <v>9.3279999999999994</v>
      </c>
      <c r="I74" s="55">
        <v>10.702</v>
      </c>
      <c r="J74">
        <v>2.4689999999999999</v>
      </c>
      <c r="K74" s="55">
        <v>0.34899999999999998</v>
      </c>
      <c r="L74" s="55">
        <v>0.22900000000000001</v>
      </c>
      <c r="M74" s="55">
        <v>2.1298999999999998E-2</v>
      </c>
      <c r="N74" s="55">
        <v>0.24027379500000001</v>
      </c>
      <c r="O74" s="55">
        <v>380.71622300000001</v>
      </c>
      <c r="P74" s="53"/>
    </row>
    <row r="75" spans="1:16" customFormat="1" ht="15" x14ac:dyDescent="0.2">
      <c r="A75" s="54" t="s">
        <v>93</v>
      </c>
      <c r="B75" s="55">
        <v>49.676000000000002</v>
      </c>
      <c r="C75" s="55">
        <v>1.8149999999999999</v>
      </c>
      <c r="D75" s="55">
        <v>10.928000000000001</v>
      </c>
      <c r="E75" s="55">
        <v>9.6356000000000002</v>
      </c>
      <c r="F75" s="55">
        <v>1.8893329999999999</v>
      </c>
      <c r="G75" s="55">
        <v>0.151</v>
      </c>
      <c r="H75" s="55">
        <v>13.612</v>
      </c>
      <c r="I75" s="55">
        <v>9.4350000000000005</v>
      </c>
      <c r="J75">
        <v>2.1309999999999998</v>
      </c>
      <c r="K75" s="55">
        <v>0.33400000000000002</v>
      </c>
      <c r="L75" s="55">
        <v>0.22900000000000001</v>
      </c>
      <c r="M75" s="55">
        <v>3.0457000000000001E-2</v>
      </c>
      <c r="N75" s="55">
        <v>0.23832500500000001</v>
      </c>
      <c r="O75" s="55">
        <v>494.37454630000002</v>
      </c>
      <c r="P75" s="53"/>
    </row>
    <row r="76" spans="1:16" customFormat="1" ht="15" x14ac:dyDescent="0.2">
      <c r="A76" s="54" t="s">
        <v>94</v>
      </c>
      <c r="B76" s="55">
        <v>49.027999999999999</v>
      </c>
      <c r="C76" s="55">
        <v>2.0089999999999999</v>
      </c>
      <c r="D76" s="55">
        <v>11.323</v>
      </c>
      <c r="E76" s="55">
        <v>9.6372999999999998</v>
      </c>
      <c r="F76" s="55">
        <v>1.8896660000000001</v>
      </c>
      <c r="G76" s="55">
        <v>0.13500000000000001</v>
      </c>
      <c r="H76" s="55">
        <v>13.349</v>
      </c>
      <c r="I76" s="55">
        <v>9.7569999999999997</v>
      </c>
      <c r="J76">
        <v>2.0920000000000001</v>
      </c>
      <c r="K76" s="55">
        <v>0.32400000000000001</v>
      </c>
      <c r="L76" s="55">
        <v>0.29099999999999998</v>
      </c>
      <c r="M76" s="55">
        <v>3.6039000000000002E-2</v>
      </c>
      <c r="N76" s="55">
        <v>0.23559048299999999</v>
      </c>
      <c r="O76" s="55">
        <v>603.93346559999998</v>
      </c>
      <c r="P76" s="53"/>
    </row>
    <row r="77" spans="1:16" customFormat="1" ht="15" x14ac:dyDescent="0.2">
      <c r="A77" s="54" t="s">
        <v>95</v>
      </c>
      <c r="B77" s="55">
        <v>48.417999999999999</v>
      </c>
      <c r="C77" s="55">
        <v>2.448</v>
      </c>
      <c r="D77" s="55">
        <v>11.895</v>
      </c>
      <c r="E77" s="55">
        <v>9.6313499999999994</v>
      </c>
      <c r="F77" s="55">
        <v>1.8885000000000001</v>
      </c>
      <c r="G77" s="55">
        <v>0.17699999999999999</v>
      </c>
      <c r="H77" s="55">
        <v>12.513999999999999</v>
      </c>
      <c r="I77" s="55">
        <v>10.022</v>
      </c>
      <c r="J77">
        <v>2.1030000000000002</v>
      </c>
      <c r="K77" s="55">
        <v>0.44900000000000001</v>
      </c>
      <c r="L77" s="55">
        <v>0.29899999999999999</v>
      </c>
      <c r="M77" s="55">
        <v>7.9093999999999998E-2</v>
      </c>
      <c r="N77" s="55">
        <v>0.21623661299999999</v>
      </c>
      <c r="O77" s="55">
        <v>601.28851910000003</v>
      </c>
      <c r="P77" s="53"/>
    </row>
    <row r="78" spans="1:16" customFormat="1" ht="15" x14ac:dyDescent="0.2">
      <c r="A78" s="54" t="s">
        <v>96</v>
      </c>
      <c r="B78" s="55">
        <v>49.58</v>
      </c>
      <c r="C78" s="55">
        <v>2.6509999999999998</v>
      </c>
      <c r="D78" s="55">
        <v>12.393000000000001</v>
      </c>
      <c r="E78" s="55">
        <v>9.6330500000000008</v>
      </c>
      <c r="F78" s="55">
        <v>1.888833</v>
      </c>
      <c r="G78" s="55">
        <v>0.18</v>
      </c>
      <c r="H78" s="55">
        <v>9.9710000000000001</v>
      </c>
      <c r="I78" s="55">
        <v>10.484</v>
      </c>
      <c r="J78">
        <v>2.282</v>
      </c>
      <c r="K78" s="55">
        <v>0.441</v>
      </c>
      <c r="L78" s="55">
        <v>0.29499999999999998</v>
      </c>
      <c r="M78" s="55">
        <v>2.8663000000000001E-2</v>
      </c>
      <c r="N78" s="55">
        <v>0.25248349599999997</v>
      </c>
      <c r="O78" s="55">
        <v>706.01352980000001</v>
      </c>
      <c r="P78" s="53"/>
    </row>
    <row r="79" spans="1:16" customFormat="1" ht="15" x14ac:dyDescent="0.2">
      <c r="A79" s="54" t="s">
        <v>97</v>
      </c>
      <c r="B79" s="55">
        <v>49.215000000000003</v>
      </c>
      <c r="C79" s="55">
        <v>2.0270000000000001</v>
      </c>
      <c r="D79" s="55">
        <v>11.612</v>
      </c>
      <c r="E79" s="55">
        <v>9.6313499999999994</v>
      </c>
      <c r="F79" s="55">
        <v>1.8885000000000001</v>
      </c>
      <c r="G79" s="55">
        <v>0.17199999999999999</v>
      </c>
      <c r="H79" s="55">
        <v>12.782999999999999</v>
      </c>
      <c r="I79" s="55">
        <v>9.7889999999999997</v>
      </c>
      <c r="J79">
        <v>2.181</v>
      </c>
      <c r="K79" s="55">
        <v>0.33</v>
      </c>
      <c r="L79" s="55">
        <v>0.20899999999999999</v>
      </c>
      <c r="M79" s="55">
        <v>4.9250000000000002E-2</v>
      </c>
      <c r="N79" s="55">
        <v>0.228747963</v>
      </c>
      <c r="O79" s="55">
        <v>553.68261640000003</v>
      </c>
      <c r="P79" s="53"/>
    </row>
    <row r="80" spans="1:16" customFormat="1" ht="15" x14ac:dyDescent="0.2">
      <c r="A80" s="54" t="s">
        <v>98</v>
      </c>
      <c r="B80" s="55">
        <v>48.902000000000001</v>
      </c>
      <c r="C80" s="55">
        <v>2.1030000000000002</v>
      </c>
      <c r="D80" s="55">
        <v>11.534000000000001</v>
      </c>
      <c r="E80" s="55">
        <v>9.6339000000000006</v>
      </c>
      <c r="F80" s="55">
        <v>1.889</v>
      </c>
      <c r="G80" s="55">
        <v>0.13700000000000001</v>
      </c>
      <c r="H80" s="55">
        <v>12.994</v>
      </c>
      <c r="I80" s="55">
        <v>9.8810000000000002</v>
      </c>
      <c r="J80">
        <v>2.1829999999999998</v>
      </c>
      <c r="K80" s="55">
        <v>0.41399999999999998</v>
      </c>
      <c r="L80" s="55">
        <v>0.16600000000000001</v>
      </c>
      <c r="M80" s="55">
        <v>4.8804E-2</v>
      </c>
      <c r="N80" s="55">
        <v>0.22833141300000001</v>
      </c>
      <c r="O80" s="55">
        <v>619.28470609999999</v>
      </c>
      <c r="P80" s="53"/>
    </row>
    <row r="81" spans="1:16" customFormat="1" ht="15" x14ac:dyDescent="0.2">
      <c r="A81" s="54" t="s">
        <v>99</v>
      </c>
      <c r="B81" s="55">
        <v>49.064</v>
      </c>
      <c r="C81" s="55">
        <v>2.125</v>
      </c>
      <c r="D81" s="55">
        <v>11.459</v>
      </c>
      <c r="E81" s="55">
        <v>9.6372999999999998</v>
      </c>
      <c r="F81" s="55">
        <v>1.8896660000000001</v>
      </c>
      <c r="G81" s="55">
        <v>0.19800000000000001</v>
      </c>
      <c r="H81" s="55">
        <v>13.015000000000001</v>
      </c>
      <c r="I81" s="55">
        <v>9.8000000000000007</v>
      </c>
      <c r="J81">
        <v>2.077</v>
      </c>
      <c r="K81" s="55">
        <v>0.36699999999999999</v>
      </c>
      <c r="L81" s="55">
        <v>0.20699999999999999</v>
      </c>
      <c r="M81" s="55">
        <v>5.0430000000000003E-2</v>
      </c>
      <c r="N81" s="55">
        <v>0.231475508</v>
      </c>
      <c r="O81" s="55">
        <v>658.62287400000002</v>
      </c>
      <c r="P81" s="53"/>
    </row>
    <row r="82" spans="1:16" customFormat="1" ht="15" x14ac:dyDescent="0.2">
      <c r="A82" s="54" t="s">
        <v>100</v>
      </c>
      <c r="B82" s="55">
        <v>49.279000000000003</v>
      </c>
      <c r="C82" s="55">
        <v>2.0230000000000001</v>
      </c>
      <c r="D82" s="55">
        <v>10.983000000000001</v>
      </c>
      <c r="E82" s="55">
        <v>9.6347500000000004</v>
      </c>
      <c r="F82" s="55">
        <v>1.8891659999999999</v>
      </c>
      <c r="G82" s="55">
        <v>0.20200000000000001</v>
      </c>
      <c r="H82" s="55">
        <v>13.734</v>
      </c>
      <c r="I82" s="55">
        <v>9.5809999999999995</v>
      </c>
      <c r="J82">
        <v>1.9910000000000001</v>
      </c>
      <c r="K82" s="55">
        <v>0.33700000000000002</v>
      </c>
      <c r="L82" s="55">
        <v>0.192</v>
      </c>
      <c r="M82" s="55">
        <v>8.8678000000000007E-2</v>
      </c>
      <c r="N82" s="55">
        <v>0.22255593500000001</v>
      </c>
      <c r="O82" s="55">
        <v>620.38623270000005</v>
      </c>
      <c r="P82" s="53"/>
    </row>
    <row r="83" spans="1:16" customFormat="1" ht="15" x14ac:dyDescent="0.2">
      <c r="A83" s="54" t="s">
        <v>101</v>
      </c>
      <c r="B83" s="55">
        <v>51.033000000000001</v>
      </c>
      <c r="C83" s="55">
        <v>2.194</v>
      </c>
      <c r="D83" s="55">
        <v>13.085000000000001</v>
      </c>
      <c r="E83" s="55">
        <v>9.6424000000000003</v>
      </c>
      <c r="F83" s="55">
        <v>1.890666</v>
      </c>
      <c r="G83" s="55">
        <v>0.20799999999999999</v>
      </c>
      <c r="H83" s="55">
        <v>7.7549999999999999</v>
      </c>
      <c r="I83" s="55">
        <v>10.975</v>
      </c>
      <c r="J83">
        <v>2.3980000000000001</v>
      </c>
      <c r="K83" s="55">
        <v>0.35099999999999998</v>
      </c>
      <c r="L83" s="55">
        <v>0.25700000000000001</v>
      </c>
      <c r="M83" s="55">
        <v>6.4475000000000005E-2</v>
      </c>
      <c r="N83" s="55">
        <v>0.236801866</v>
      </c>
      <c r="O83" s="55">
        <v>1000.841759</v>
      </c>
      <c r="P83" s="53"/>
    </row>
    <row r="84" spans="1:16" customFormat="1" ht="15" x14ac:dyDescent="0.2">
      <c r="A84" s="54" t="s">
        <v>102</v>
      </c>
      <c r="B84" s="55">
        <v>50.851999999999997</v>
      </c>
      <c r="C84" s="55">
        <v>2.2330000000000001</v>
      </c>
      <c r="D84" s="55">
        <v>13.333</v>
      </c>
      <c r="E84" s="55">
        <v>9.6339000000000006</v>
      </c>
      <c r="F84" s="55">
        <v>1.889</v>
      </c>
      <c r="G84" s="55">
        <v>0.20699999999999999</v>
      </c>
      <c r="H84" s="55">
        <v>7.6180000000000003</v>
      </c>
      <c r="I84" s="55">
        <v>10.837</v>
      </c>
      <c r="J84">
        <v>2.556</v>
      </c>
      <c r="K84" s="55">
        <v>0.40100000000000002</v>
      </c>
      <c r="L84" s="55">
        <v>0.29799999999999999</v>
      </c>
      <c r="M84" s="55">
        <v>9.2379999999999997E-3</v>
      </c>
      <c r="N84" s="55">
        <v>0.16319293100000001</v>
      </c>
      <c r="O84" s="55">
        <v>1049.0745199999999</v>
      </c>
      <c r="P84" s="53"/>
    </row>
    <row r="85" spans="1:16" customFormat="1" ht="15" x14ac:dyDescent="0.2">
      <c r="A85" s="54" t="s">
        <v>103</v>
      </c>
      <c r="B85" s="55">
        <v>49.298000000000002</v>
      </c>
      <c r="C85" s="55">
        <v>2.484</v>
      </c>
      <c r="D85" s="55">
        <v>11.82</v>
      </c>
      <c r="E85" s="55">
        <v>9.6339000000000006</v>
      </c>
      <c r="F85" s="55">
        <v>1.889</v>
      </c>
      <c r="G85" s="55">
        <v>0.15</v>
      </c>
      <c r="H85" s="55">
        <v>11.382</v>
      </c>
      <c r="I85" s="55">
        <v>10.353999999999999</v>
      </c>
      <c r="J85">
        <v>2.2029999999999998</v>
      </c>
      <c r="K85" s="55">
        <v>0.41799999999999998</v>
      </c>
      <c r="L85" s="55">
        <v>0.192</v>
      </c>
      <c r="M85" s="55">
        <v>3.826E-3</v>
      </c>
      <c r="N85" s="55">
        <v>0.230183428</v>
      </c>
      <c r="O85" s="55">
        <v>724.42115309999997</v>
      </c>
      <c r="P85" s="53"/>
    </row>
    <row r="86" spans="1:16" customFormat="1" ht="15" x14ac:dyDescent="0.2">
      <c r="A86" s="54" t="s">
        <v>104</v>
      </c>
      <c r="B86" s="55">
        <v>49.085000000000001</v>
      </c>
      <c r="C86" s="55">
        <v>2.0409999999999999</v>
      </c>
      <c r="D86" s="55">
        <v>11.407999999999999</v>
      </c>
      <c r="E86" s="55">
        <v>9.6304999999999996</v>
      </c>
      <c r="F86" s="55">
        <v>1.888333</v>
      </c>
      <c r="G86" s="55">
        <v>0.16600000000000001</v>
      </c>
      <c r="H86" s="55">
        <v>13.363</v>
      </c>
      <c r="I86" s="55">
        <v>9.6460000000000008</v>
      </c>
      <c r="J86">
        <v>2.0409999999999999</v>
      </c>
      <c r="K86" s="55">
        <v>0.33400000000000002</v>
      </c>
      <c r="L86" s="55">
        <v>0.24</v>
      </c>
      <c r="M86" s="55">
        <v>5.8487999999999998E-2</v>
      </c>
      <c r="N86" s="55">
        <v>0.23109279599999999</v>
      </c>
      <c r="O86" s="55">
        <v>575.48681720000002</v>
      </c>
      <c r="P86" s="53"/>
    </row>
    <row r="87" spans="1:16" customFormat="1" ht="15" x14ac:dyDescent="0.2">
      <c r="A87" s="54" t="s">
        <v>105</v>
      </c>
      <c r="B87" s="55">
        <v>49.417000000000002</v>
      </c>
      <c r="C87" s="55">
        <v>2.2250000000000001</v>
      </c>
      <c r="D87" s="55">
        <v>11.585000000000001</v>
      </c>
      <c r="E87" s="55">
        <v>9.6321999999999992</v>
      </c>
      <c r="F87" s="55">
        <v>1.888666</v>
      </c>
      <c r="G87" s="55">
        <v>0.16700000000000001</v>
      </c>
      <c r="H87" s="55">
        <v>11.582000000000001</v>
      </c>
      <c r="I87" s="55">
        <v>10.449</v>
      </c>
      <c r="J87">
        <v>2.2679999999999998</v>
      </c>
      <c r="K87" s="55">
        <v>0.34899999999999998</v>
      </c>
      <c r="L87" s="55">
        <v>0.26</v>
      </c>
      <c r="M87" s="55">
        <v>4.1806999999999997E-2</v>
      </c>
      <c r="N87" s="55">
        <v>0.23271744799999999</v>
      </c>
      <c r="O87" s="55">
        <v>677.746711</v>
      </c>
      <c r="P87" s="53"/>
    </row>
    <row r="88" spans="1:16" customFormat="1" ht="15" x14ac:dyDescent="0.2">
      <c r="A88" s="54" t="s">
        <v>106</v>
      </c>
      <c r="B88" s="55">
        <v>49.789000000000001</v>
      </c>
      <c r="C88" s="55">
        <v>1.869</v>
      </c>
      <c r="D88" s="55">
        <v>10.867000000000001</v>
      </c>
      <c r="E88" s="55">
        <v>9.63645</v>
      </c>
      <c r="F88" s="55">
        <v>1.8895</v>
      </c>
      <c r="G88" s="55">
        <v>0.20399999999999999</v>
      </c>
      <c r="H88" s="55">
        <v>13.295</v>
      </c>
      <c r="I88" s="55">
        <v>9.484</v>
      </c>
      <c r="J88">
        <v>2.1840000000000002</v>
      </c>
      <c r="K88" s="55">
        <v>0.34</v>
      </c>
      <c r="L88" s="55">
        <v>0.27800000000000002</v>
      </c>
      <c r="M88" s="55">
        <v>7.6158000000000003E-2</v>
      </c>
      <c r="N88" s="55">
        <v>0.23203927299999999</v>
      </c>
      <c r="O88" s="55">
        <v>555.86287460000005</v>
      </c>
      <c r="P88" s="53"/>
    </row>
    <row r="89" spans="1:16" customFormat="1" ht="15" x14ac:dyDescent="0.2">
      <c r="A89" s="54" t="s">
        <v>107</v>
      </c>
      <c r="B89" s="55">
        <v>49.375</v>
      </c>
      <c r="C89" s="55">
        <v>2.5579999999999998</v>
      </c>
      <c r="D89" s="55">
        <v>12.085000000000001</v>
      </c>
      <c r="E89" s="55">
        <v>9.6321999999999992</v>
      </c>
      <c r="F89" s="55">
        <v>1.888666</v>
      </c>
      <c r="G89" s="55">
        <v>0.185</v>
      </c>
      <c r="H89" s="55">
        <v>10.256</v>
      </c>
      <c r="I89" s="55">
        <v>10.973000000000001</v>
      </c>
      <c r="J89">
        <v>2.0920000000000001</v>
      </c>
      <c r="K89" s="55">
        <v>0.47099999999999997</v>
      </c>
      <c r="L89" s="55">
        <v>0.30199999999999999</v>
      </c>
      <c r="M89" s="55">
        <v>2.8538999999999998E-2</v>
      </c>
      <c r="N89" s="55">
        <v>0.22591370999999999</v>
      </c>
      <c r="O89" s="55">
        <v>921.63363440000001</v>
      </c>
      <c r="P89" s="53"/>
    </row>
    <row r="90" spans="1:16" customFormat="1" ht="15" x14ac:dyDescent="0.2">
      <c r="A90" s="54" t="s">
        <v>108</v>
      </c>
      <c r="B90" s="55">
        <v>49.930999999999997</v>
      </c>
      <c r="C90" s="55">
        <v>2.0350000000000001</v>
      </c>
      <c r="D90" s="55">
        <v>11.388999999999999</v>
      </c>
      <c r="E90" s="55">
        <v>9.6372999999999998</v>
      </c>
      <c r="F90" s="55">
        <v>1.8896660000000001</v>
      </c>
      <c r="G90" s="55">
        <v>0.13600000000000001</v>
      </c>
      <c r="H90" s="55">
        <v>12.849</v>
      </c>
      <c r="I90" s="55">
        <v>9.3330000000000002</v>
      </c>
      <c r="J90">
        <v>2.0680000000000001</v>
      </c>
      <c r="K90" s="55">
        <v>0.37</v>
      </c>
      <c r="L90" s="55">
        <v>0.19600000000000001</v>
      </c>
      <c r="M90" s="55">
        <v>6.5338999999999994E-2</v>
      </c>
      <c r="N90" s="55">
        <v>0.24001054499999999</v>
      </c>
      <c r="O90" s="55">
        <v>608.41056070000002</v>
      </c>
      <c r="P90" s="53"/>
    </row>
    <row r="91" spans="1:16" customFormat="1" ht="15" x14ac:dyDescent="0.2">
      <c r="A91" s="54" t="s">
        <v>109</v>
      </c>
      <c r="B91" s="55">
        <v>49.021999999999998</v>
      </c>
      <c r="C91" s="55">
        <v>2.0259999999999998</v>
      </c>
      <c r="D91" s="55">
        <v>11.316000000000001</v>
      </c>
      <c r="E91" s="55">
        <v>9.6330500000000008</v>
      </c>
      <c r="F91" s="55">
        <v>1.888833</v>
      </c>
      <c r="G91" s="55">
        <v>0.183</v>
      </c>
      <c r="H91" s="55">
        <v>13.473000000000001</v>
      </c>
      <c r="I91" s="55">
        <v>9.84</v>
      </c>
      <c r="J91">
        <v>1.9330000000000001</v>
      </c>
      <c r="K91" s="55">
        <v>0.34399999999999997</v>
      </c>
      <c r="L91" s="55">
        <v>0.17899999999999999</v>
      </c>
      <c r="M91" s="55">
        <v>2.9159999999999998E-2</v>
      </c>
      <c r="N91" s="55">
        <v>0.23710313099999999</v>
      </c>
      <c r="O91" s="55">
        <v>594.90537529999995</v>
      </c>
      <c r="P91" s="53"/>
    </row>
    <row r="92" spans="1:16" customFormat="1" ht="15" x14ac:dyDescent="0.2">
      <c r="A92" s="54" t="s">
        <v>110</v>
      </c>
      <c r="B92" s="55">
        <v>48.994</v>
      </c>
      <c r="C92" s="55">
        <v>1.917</v>
      </c>
      <c r="D92" s="55">
        <v>11.861000000000001</v>
      </c>
      <c r="E92" s="55">
        <v>9.6330500000000008</v>
      </c>
      <c r="F92" s="55">
        <v>1.888833</v>
      </c>
      <c r="G92" s="55">
        <v>0.16800000000000001</v>
      </c>
      <c r="H92" s="55">
        <v>13.183999999999999</v>
      </c>
      <c r="I92" s="55">
        <v>9.5630000000000006</v>
      </c>
      <c r="J92">
        <v>2.1360000000000001</v>
      </c>
      <c r="K92" s="55">
        <v>0.31</v>
      </c>
      <c r="L92" s="55">
        <v>0.193</v>
      </c>
      <c r="M92" s="55">
        <v>3.4388000000000002E-2</v>
      </c>
      <c r="N92" s="55">
        <v>0.22681127300000001</v>
      </c>
      <c r="O92" s="55">
        <v>597.69328250000001</v>
      </c>
      <c r="P92" s="53"/>
    </row>
    <row r="93" spans="1:16" customFormat="1" ht="15" x14ac:dyDescent="0.2">
      <c r="A93" s="54" t="s">
        <v>111</v>
      </c>
      <c r="B93" s="55">
        <v>49.755000000000003</v>
      </c>
      <c r="C93" s="55">
        <v>1.798</v>
      </c>
      <c r="D93" s="55">
        <v>11.177</v>
      </c>
      <c r="E93" s="55">
        <v>9.6372999999999998</v>
      </c>
      <c r="F93" s="55">
        <v>1.8896660000000001</v>
      </c>
      <c r="G93" s="55">
        <v>0.16300000000000001</v>
      </c>
      <c r="H93" s="55">
        <v>13.478</v>
      </c>
      <c r="I93" s="55">
        <v>9.2639999999999993</v>
      </c>
      <c r="J93">
        <v>2.181</v>
      </c>
      <c r="K93" s="55">
        <v>0.28299999999999997</v>
      </c>
      <c r="L93" s="55">
        <v>0.2</v>
      </c>
      <c r="M93" s="55">
        <v>5.6946999999999998E-2</v>
      </c>
      <c r="N93" s="55">
        <v>0.25495322199999998</v>
      </c>
      <c r="O93" s="55">
        <v>499.41184199999998</v>
      </c>
      <c r="P93" s="53"/>
    </row>
    <row r="94" spans="1:16" customFormat="1" ht="15" x14ac:dyDescent="0.2">
      <c r="A94" s="54" t="s">
        <v>112</v>
      </c>
      <c r="B94" s="55">
        <v>49.430999999999997</v>
      </c>
      <c r="C94" s="55">
        <v>1.8520000000000001</v>
      </c>
      <c r="D94" s="55">
        <v>11.561999999999999</v>
      </c>
      <c r="E94" s="55">
        <v>9.6347500000000004</v>
      </c>
      <c r="F94" s="55">
        <v>1.8891659999999999</v>
      </c>
      <c r="G94" s="55">
        <v>0.18099999999999999</v>
      </c>
      <c r="H94" s="55">
        <v>13.134</v>
      </c>
      <c r="I94" s="55">
        <v>9.5259999999999998</v>
      </c>
      <c r="J94">
        <v>2.097</v>
      </c>
      <c r="K94" s="55">
        <v>0.315</v>
      </c>
      <c r="L94" s="55">
        <v>0.20499999999999999</v>
      </c>
      <c r="M94" s="55">
        <v>1.096E-3</v>
      </c>
      <c r="N94" s="55">
        <v>0.251694959</v>
      </c>
      <c r="O94" s="55">
        <v>525.59158609999997</v>
      </c>
      <c r="P94" s="53"/>
    </row>
    <row r="95" spans="1:16" customFormat="1" ht="15" x14ac:dyDescent="0.2">
      <c r="A95" s="54" t="s">
        <v>113</v>
      </c>
      <c r="B95" s="55">
        <v>48.561</v>
      </c>
      <c r="C95" s="55">
        <v>2.593</v>
      </c>
      <c r="D95" s="55">
        <v>12.276999999999999</v>
      </c>
      <c r="E95" s="55">
        <v>9.6321999999999992</v>
      </c>
      <c r="F95" s="55">
        <v>1.888666</v>
      </c>
      <c r="G95" s="55">
        <v>0.2</v>
      </c>
      <c r="H95" s="55">
        <v>10.682</v>
      </c>
      <c r="I95" s="55">
        <v>10.911</v>
      </c>
      <c r="J95">
        <v>2.31</v>
      </c>
      <c r="K95" s="55">
        <v>0.47199999999999998</v>
      </c>
      <c r="L95" s="55">
        <v>0.28399999999999997</v>
      </c>
      <c r="M95" s="55">
        <v>3.2381E-2</v>
      </c>
      <c r="N95" s="55">
        <v>0.228948969</v>
      </c>
      <c r="O95" s="55">
        <v>844.4250763</v>
      </c>
      <c r="P95" s="53"/>
    </row>
    <row r="96" spans="1:16" customFormat="1" ht="15" x14ac:dyDescent="0.2">
      <c r="A96" s="54" t="s">
        <v>114</v>
      </c>
      <c r="B96" s="55">
        <v>49.451999999999998</v>
      </c>
      <c r="C96" s="55">
        <v>2.2410000000000001</v>
      </c>
      <c r="D96" s="55">
        <v>10.609</v>
      </c>
      <c r="E96" s="55">
        <v>9.6372999999999998</v>
      </c>
      <c r="F96" s="55">
        <v>1.8896660000000001</v>
      </c>
      <c r="G96" s="55">
        <v>0.16900000000000001</v>
      </c>
      <c r="H96" s="55">
        <v>13.291</v>
      </c>
      <c r="I96" s="55">
        <v>9.8629999999999995</v>
      </c>
      <c r="J96">
        <v>2.0379999999999998</v>
      </c>
      <c r="K96" s="55">
        <v>0.40899999999999997</v>
      </c>
      <c r="L96" s="55">
        <v>0.25</v>
      </c>
      <c r="M96" s="55">
        <v>7.1553000000000005E-2</v>
      </c>
      <c r="N96" s="55">
        <v>0.21206217699999999</v>
      </c>
      <c r="O96" s="55">
        <v>622.84806560000004</v>
      </c>
      <c r="P96" s="53"/>
    </row>
    <row r="97" spans="1:16" customFormat="1" ht="15" x14ac:dyDescent="0.2">
      <c r="A97" s="54" t="s">
        <v>115</v>
      </c>
      <c r="B97" s="55">
        <v>49.484000000000002</v>
      </c>
      <c r="C97" s="55">
        <v>2.0510000000000002</v>
      </c>
      <c r="D97" s="55">
        <v>11.345000000000001</v>
      </c>
      <c r="E97" s="55">
        <v>9.6313499999999994</v>
      </c>
      <c r="F97" s="55">
        <v>1.8885000000000001</v>
      </c>
      <c r="G97" s="55">
        <v>0.14699999999999999</v>
      </c>
      <c r="H97" s="55">
        <v>12.815</v>
      </c>
      <c r="I97" s="55">
        <v>9.7560000000000002</v>
      </c>
      <c r="J97">
        <v>2.133</v>
      </c>
      <c r="K97" s="55">
        <v>0.36599999999999999</v>
      </c>
      <c r="L97" s="55">
        <v>0.217</v>
      </c>
      <c r="M97" s="55">
        <v>5.2935999999999997E-2</v>
      </c>
      <c r="N97" s="55">
        <v>0.232565459</v>
      </c>
      <c r="O97" s="55">
        <v>575.58927619999997</v>
      </c>
      <c r="P97" s="53"/>
    </row>
    <row r="98" spans="1:16" customFormat="1" ht="15" x14ac:dyDescent="0.2">
      <c r="A98" s="54" t="s">
        <v>116</v>
      </c>
      <c r="B98" s="55">
        <v>49.406999999999996</v>
      </c>
      <c r="C98" s="55">
        <v>2.0710000000000002</v>
      </c>
      <c r="D98" s="55">
        <v>11.715</v>
      </c>
      <c r="E98" s="55">
        <v>9.6356000000000002</v>
      </c>
      <c r="F98" s="55">
        <v>1.8893329999999999</v>
      </c>
      <c r="G98" s="55">
        <v>0.13300000000000001</v>
      </c>
      <c r="H98" s="55">
        <v>12.725</v>
      </c>
      <c r="I98" s="55">
        <v>9.6259999999999994</v>
      </c>
      <c r="J98">
        <v>2.093</v>
      </c>
      <c r="K98" s="55">
        <v>0.34100000000000003</v>
      </c>
      <c r="L98" s="55">
        <v>0.19900000000000001</v>
      </c>
      <c r="M98" s="55">
        <v>4.8132000000000001E-2</v>
      </c>
      <c r="N98" s="55">
        <v>0.23385440699999999</v>
      </c>
      <c r="O98" s="55">
        <v>597.51544279999996</v>
      </c>
      <c r="P98" s="53"/>
    </row>
    <row r="99" spans="1:16" customFormat="1" ht="15" x14ac:dyDescent="0.2">
      <c r="A99" s="54" t="s">
        <v>117</v>
      </c>
      <c r="B99" s="55">
        <v>51.241</v>
      </c>
      <c r="C99" s="55">
        <v>3.4169999999999998</v>
      </c>
      <c r="D99" s="55">
        <v>12.558</v>
      </c>
      <c r="E99" s="55">
        <v>9.63645</v>
      </c>
      <c r="F99" s="55">
        <v>1.8895</v>
      </c>
      <c r="G99" s="55">
        <v>0.20799999999999999</v>
      </c>
      <c r="H99" s="55">
        <v>7.665</v>
      </c>
      <c r="I99" s="55">
        <v>9.7490000000000006</v>
      </c>
      <c r="J99">
        <v>2.6</v>
      </c>
      <c r="K99" s="55">
        <v>0.56399999999999995</v>
      </c>
      <c r="L99" s="55">
        <v>0.27900000000000003</v>
      </c>
      <c r="M99" s="55">
        <v>2.4167000000000001E-2</v>
      </c>
      <c r="N99" s="55">
        <v>0.229223606</v>
      </c>
      <c r="O99" s="55">
        <v>1193.063314</v>
      </c>
      <c r="P99" s="53"/>
    </row>
    <row r="100" spans="1:16" customFormat="1" ht="15" x14ac:dyDescent="0.2">
      <c r="A100" s="54" t="s">
        <v>118</v>
      </c>
      <c r="B100" s="55">
        <v>49.533999999999999</v>
      </c>
      <c r="C100" s="55">
        <v>2.278</v>
      </c>
      <c r="D100" s="55">
        <v>11.698</v>
      </c>
      <c r="E100" s="55">
        <v>9.6372999999999998</v>
      </c>
      <c r="F100" s="55">
        <v>1.8896660000000001</v>
      </c>
      <c r="G100" s="55">
        <v>0.19500000000000001</v>
      </c>
      <c r="H100" s="55">
        <v>11.566000000000001</v>
      </c>
      <c r="I100" s="55">
        <v>10.262</v>
      </c>
      <c r="J100">
        <v>2.109</v>
      </c>
      <c r="K100" s="55">
        <v>0.40899999999999997</v>
      </c>
      <c r="L100" s="55">
        <v>0.248</v>
      </c>
      <c r="M100" s="55">
        <v>5.8091999999999998E-2</v>
      </c>
      <c r="N100" s="55">
        <v>0.23055737000000001</v>
      </c>
      <c r="O100" s="55">
        <v>687.83533</v>
      </c>
      <c r="P100" s="53"/>
    </row>
    <row r="101" spans="1:16" customFormat="1" ht="15" x14ac:dyDescent="0.2">
      <c r="A101" s="54" t="s">
        <v>119</v>
      </c>
      <c r="B101" s="55">
        <v>49.502000000000002</v>
      </c>
      <c r="C101" s="55">
        <v>2.0539999999999998</v>
      </c>
      <c r="D101" s="55">
        <v>11.122</v>
      </c>
      <c r="E101" s="55">
        <v>9.63645</v>
      </c>
      <c r="F101" s="55">
        <v>1.8895</v>
      </c>
      <c r="G101" s="55">
        <v>0.16900000000000001</v>
      </c>
      <c r="H101" s="55">
        <v>12.983000000000001</v>
      </c>
      <c r="I101" s="55">
        <v>9.7560000000000002</v>
      </c>
      <c r="J101">
        <v>2.169</v>
      </c>
      <c r="K101" s="55">
        <v>0.32300000000000001</v>
      </c>
      <c r="L101" s="55">
        <v>0.23200000000000001</v>
      </c>
      <c r="M101" s="55">
        <v>3.4680000000000002E-3</v>
      </c>
      <c r="N101" s="55">
        <v>0.223037289</v>
      </c>
      <c r="O101" s="55">
        <v>699.82207849999998</v>
      </c>
      <c r="P101" s="53"/>
    </row>
    <row r="102" spans="1:16" customFormat="1" ht="15" x14ac:dyDescent="0.2">
      <c r="A102" s="54" t="s">
        <v>120</v>
      </c>
      <c r="B102" s="55">
        <v>49.628999999999998</v>
      </c>
      <c r="C102" s="55">
        <v>1.9330000000000001</v>
      </c>
      <c r="D102" s="55">
        <v>11.224</v>
      </c>
      <c r="E102" s="55">
        <v>9.6381499999999996</v>
      </c>
      <c r="F102" s="55">
        <v>1.8898330000000001</v>
      </c>
      <c r="G102" s="55">
        <v>0.16400000000000001</v>
      </c>
      <c r="H102" s="55">
        <v>12.722</v>
      </c>
      <c r="I102" s="55">
        <v>9.9990000000000006</v>
      </c>
      <c r="J102">
        <v>2.11</v>
      </c>
      <c r="K102" s="55">
        <v>0.316</v>
      </c>
      <c r="L102" s="55">
        <v>0.21099999999999999</v>
      </c>
      <c r="M102" s="55">
        <v>1.4779999999999999E-3</v>
      </c>
      <c r="N102" s="55">
        <v>0.23452536900000001</v>
      </c>
      <c r="O102" s="55">
        <v>542.64357150000001</v>
      </c>
      <c r="P102" s="53"/>
    </row>
    <row r="103" spans="1:16" customFormat="1" ht="15" x14ac:dyDescent="0.2">
      <c r="A103" s="54" t="s">
        <v>121</v>
      </c>
      <c r="B103" s="55">
        <v>49.780999999999999</v>
      </c>
      <c r="C103" s="55">
        <v>2.1230000000000002</v>
      </c>
      <c r="D103" s="55">
        <v>11.218</v>
      </c>
      <c r="E103" s="55">
        <v>9.6356000000000002</v>
      </c>
      <c r="F103" s="55">
        <v>1.8893329999999999</v>
      </c>
      <c r="G103" s="55">
        <v>0.14199999999999999</v>
      </c>
      <c r="H103" s="55">
        <v>12.769</v>
      </c>
      <c r="I103" s="55">
        <v>9.5619999999999994</v>
      </c>
      <c r="J103">
        <v>2.1360000000000001</v>
      </c>
      <c r="K103" s="55">
        <v>0.39100000000000001</v>
      </c>
      <c r="L103" s="55">
        <v>0.19500000000000001</v>
      </c>
      <c r="M103" s="55">
        <v>5.3777999999999999E-2</v>
      </c>
      <c r="N103" s="55">
        <v>0.22060297800000001</v>
      </c>
      <c r="O103" s="55">
        <v>696.33774749999998</v>
      </c>
      <c r="P103" s="53"/>
    </row>
    <row r="104" spans="1:16" customFormat="1" ht="15" x14ac:dyDescent="0.2">
      <c r="A104" s="54" t="s">
        <v>122</v>
      </c>
      <c r="B104" s="55">
        <v>49.594000000000001</v>
      </c>
      <c r="C104" s="55">
        <v>2.032</v>
      </c>
      <c r="D104" s="55">
        <v>11.022</v>
      </c>
      <c r="E104" s="55">
        <v>9.6321999999999992</v>
      </c>
      <c r="F104" s="55">
        <v>1.888666</v>
      </c>
      <c r="G104" s="55">
        <v>0.15</v>
      </c>
      <c r="H104" s="55">
        <v>13.237</v>
      </c>
      <c r="I104" s="55">
        <v>9.75</v>
      </c>
      <c r="J104">
        <v>2.008</v>
      </c>
      <c r="K104" s="55">
        <v>0.32800000000000001</v>
      </c>
      <c r="L104" s="55">
        <v>0.19700000000000001</v>
      </c>
      <c r="M104" s="55">
        <v>5.6748E-2</v>
      </c>
      <c r="N104" s="55">
        <v>0.23036694999999999</v>
      </c>
      <c r="O104" s="55">
        <v>563.65505719999999</v>
      </c>
      <c r="P104" s="53"/>
    </row>
    <row r="105" spans="1:16" customFormat="1" ht="15" x14ac:dyDescent="0.2">
      <c r="A105" s="54" t="s">
        <v>123</v>
      </c>
      <c r="B105" s="55">
        <v>49.508000000000003</v>
      </c>
      <c r="C105" s="55">
        <v>2.1</v>
      </c>
      <c r="D105" s="55">
        <v>10.773999999999999</v>
      </c>
      <c r="E105" s="55">
        <v>9.6347500000000004</v>
      </c>
      <c r="F105" s="55">
        <v>1.8891659999999999</v>
      </c>
      <c r="G105" s="55">
        <v>0.187</v>
      </c>
      <c r="H105" s="55">
        <v>13.183</v>
      </c>
      <c r="I105" s="55">
        <v>9.8870000000000005</v>
      </c>
      <c r="J105">
        <v>2.08</v>
      </c>
      <c r="K105" s="55">
        <v>0.33700000000000002</v>
      </c>
      <c r="L105" s="55">
        <v>0.25800000000000001</v>
      </c>
      <c r="M105" s="55">
        <v>2.7590000000000002E-3</v>
      </c>
      <c r="N105" s="55">
        <v>0.21842073300000001</v>
      </c>
      <c r="O105" s="55">
        <v>740.67043569999998</v>
      </c>
      <c r="P105" s="53"/>
    </row>
    <row r="106" spans="1:16" customFormat="1" ht="15" x14ac:dyDescent="0.2">
      <c r="A106" s="54" t="s">
        <v>124</v>
      </c>
      <c r="B106" s="55">
        <v>49.203000000000003</v>
      </c>
      <c r="C106" s="55">
        <v>2.177</v>
      </c>
      <c r="D106" s="55">
        <v>11.313000000000001</v>
      </c>
      <c r="E106" s="55">
        <v>9.6356000000000002</v>
      </c>
      <c r="F106" s="55">
        <v>1.8893329999999999</v>
      </c>
      <c r="G106" s="55">
        <v>0.16500000000000001</v>
      </c>
      <c r="H106" s="55">
        <v>13.071999999999999</v>
      </c>
      <c r="I106" s="55">
        <v>9.5649999999999995</v>
      </c>
      <c r="J106">
        <v>2.1389999999999998</v>
      </c>
      <c r="K106" s="55">
        <v>0.41099999999999998</v>
      </c>
      <c r="L106" s="55">
        <v>0.26900000000000002</v>
      </c>
      <c r="M106" s="55">
        <v>6.3848000000000002E-2</v>
      </c>
      <c r="N106" s="55">
        <v>0.22338171700000001</v>
      </c>
      <c r="O106" s="55">
        <v>684.0279385</v>
      </c>
      <c r="P106" s="53"/>
    </row>
    <row r="107" spans="1:16" customFormat="1" ht="15" x14ac:dyDescent="0.2">
      <c r="A107" s="54" t="s">
        <v>125</v>
      </c>
      <c r="B107" s="55">
        <v>49.764000000000003</v>
      </c>
      <c r="C107" s="55">
        <v>2.2839999999999998</v>
      </c>
      <c r="D107" s="55">
        <v>11.887</v>
      </c>
      <c r="E107" s="55">
        <v>9.6339000000000006</v>
      </c>
      <c r="F107" s="55">
        <v>1.889</v>
      </c>
      <c r="G107" s="55">
        <v>0.192</v>
      </c>
      <c r="H107" s="55">
        <v>11.363</v>
      </c>
      <c r="I107" s="55">
        <v>10.16</v>
      </c>
      <c r="J107">
        <v>1.978</v>
      </c>
      <c r="K107" s="55">
        <v>0.42599999999999999</v>
      </c>
      <c r="L107" s="55">
        <v>0.254</v>
      </c>
      <c r="M107" s="55">
        <v>7.4261999999999995E-2</v>
      </c>
      <c r="N107" s="55">
        <v>0.22663270099999999</v>
      </c>
      <c r="O107" s="55">
        <v>740.47579519999999</v>
      </c>
      <c r="P107" s="53"/>
    </row>
    <row r="108" spans="1:16" customFormat="1" ht="15" x14ac:dyDescent="0.2">
      <c r="A108" s="54" t="s">
        <v>126</v>
      </c>
      <c r="B108" s="55">
        <v>49.057000000000002</v>
      </c>
      <c r="C108" s="55">
        <v>2.4220000000000002</v>
      </c>
      <c r="D108" s="55">
        <v>12.138</v>
      </c>
      <c r="E108" s="55">
        <v>9.6347500000000004</v>
      </c>
      <c r="F108" s="55">
        <v>1.8891659999999999</v>
      </c>
      <c r="G108" s="55">
        <v>0.17799999999999999</v>
      </c>
      <c r="H108" s="55">
        <v>10.843999999999999</v>
      </c>
      <c r="I108" s="55">
        <v>10.678000000000001</v>
      </c>
      <c r="J108">
        <v>2.1920000000000002</v>
      </c>
      <c r="K108" s="55">
        <v>0.44500000000000001</v>
      </c>
      <c r="L108" s="55">
        <v>0.32900000000000001</v>
      </c>
      <c r="M108" s="55">
        <v>2.8763E-2</v>
      </c>
      <c r="N108" s="55">
        <v>0.24566764099999999</v>
      </c>
      <c r="O108" s="55">
        <v>812.48373679999997</v>
      </c>
      <c r="P108" s="53"/>
    </row>
    <row r="109" spans="1:16" customFormat="1" ht="15" x14ac:dyDescent="0.2">
      <c r="A109" s="54" t="s">
        <v>127</v>
      </c>
      <c r="B109" s="55">
        <v>50.192999999999998</v>
      </c>
      <c r="C109" s="55">
        <v>2.1539999999999999</v>
      </c>
      <c r="D109" s="55">
        <v>12.106</v>
      </c>
      <c r="E109" s="55">
        <v>9.6381499999999996</v>
      </c>
      <c r="F109" s="55">
        <v>1.8898330000000001</v>
      </c>
      <c r="G109" s="55">
        <v>0.157</v>
      </c>
      <c r="H109" s="55">
        <v>10.324</v>
      </c>
      <c r="I109" s="55">
        <v>10.413</v>
      </c>
      <c r="J109">
        <v>2.351</v>
      </c>
      <c r="K109" s="55">
        <v>0.37</v>
      </c>
      <c r="L109" s="55">
        <v>0.216</v>
      </c>
      <c r="M109" s="55">
        <v>5.7799999999999997E-2</v>
      </c>
      <c r="N109" s="55">
        <v>0.23812248999999999</v>
      </c>
      <c r="O109" s="55">
        <v>713.38176129999999</v>
      </c>
      <c r="P109" s="53"/>
    </row>
    <row r="110" spans="1:16" customFormat="1" ht="15" x14ac:dyDescent="0.2">
      <c r="A110" s="54" t="s">
        <v>128</v>
      </c>
      <c r="B110" s="55">
        <v>49.468000000000004</v>
      </c>
      <c r="C110" s="55">
        <v>1.9990000000000001</v>
      </c>
      <c r="D110" s="55">
        <v>11.505000000000001</v>
      </c>
      <c r="E110" s="55">
        <v>9.6372999999999998</v>
      </c>
      <c r="F110" s="55">
        <v>1.8896660000000001</v>
      </c>
      <c r="G110" s="55">
        <v>0.16800000000000001</v>
      </c>
      <c r="H110" s="55">
        <v>12.452999999999999</v>
      </c>
      <c r="I110" s="55">
        <v>9.9480000000000004</v>
      </c>
      <c r="J110">
        <v>2.286</v>
      </c>
      <c r="K110" s="55">
        <v>0.26600000000000001</v>
      </c>
      <c r="L110" s="55">
        <v>0.20699999999999999</v>
      </c>
      <c r="M110" s="55">
        <v>5.1900000000000002E-3</v>
      </c>
      <c r="N110" s="55">
        <v>0.22717303699999999</v>
      </c>
      <c r="O110" s="55">
        <v>686.16145859999995</v>
      </c>
      <c r="P110" s="53"/>
    </row>
    <row r="111" spans="1:16" customFormat="1" ht="15" x14ac:dyDescent="0.2">
      <c r="A111" s="54" t="s">
        <v>129</v>
      </c>
      <c r="B111" s="55">
        <v>49.921999999999997</v>
      </c>
      <c r="C111" s="55">
        <v>2.1869999999999998</v>
      </c>
      <c r="D111" s="55">
        <v>11.701000000000001</v>
      </c>
      <c r="E111" s="55">
        <v>9.6356000000000002</v>
      </c>
      <c r="F111" s="55">
        <v>1.8893329999999999</v>
      </c>
      <c r="G111" s="55">
        <v>0.13500000000000001</v>
      </c>
      <c r="H111" s="55">
        <v>11.154</v>
      </c>
      <c r="I111" s="55">
        <v>10.593</v>
      </c>
      <c r="J111">
        <v>2.0760000000000001</v>
      </c>
      <c r="K111" s="55">
        <v>0.34200000000000003</v>
      </c>
      <c r="L111" s="55">
        <v>0.19700000000000001</v>
      </c>
      <c r="M111" s="55">
        <v>1.768E-3</v>
      </c>
      <c r="N111" s="55">
        <v>0.22038642899999999</v>
      </c>
      <c r="O111" s="55">
        <v>211.58130610000001</v>
      </c>
      <c r="P111" s="53"/>
    </row>
    <row r="112" spans="1:16" customFormat="1" ht="15" x14ac:dyDescent="0.2">
      <c r="A112" s="54" t="s">
        <v>130</v>
      </c>
      <c r="B112" s="55">
        <v>49.228000000000002</v>
      </c>
      <c r="C112" s="55">
        <v>2.09</v>
      </c>
      <c r="D112" s="55">
        <v>11.221</v>
      </c>
      <c r="E112" s="55">
        <v>9.6339000000000006</v>
      </c>
      <c r="F112" s="55">
        <v>1.889</v>
      </c>
      <c r="G112" s="55">
        <v>0.14299999999999999</v>
      </c>
      <c r="H112" s="55">
        <v>13.143000000000001</v>
      </c>
      <c r="I112" s="55">
        <v>9.8230000000000004</v>
      </c>
      <c r="J112">
        <v>2.04</v>
      </c>
      <c r="K112" s="55">
        <v>0.34899999999999998</v>
      </c>
      <c r="L112" s="55">
        <v>0.45400000000000001</v>
      </c>
      <c r="M112" s="55">
        <v>0</v>
      </c>
      <c r="N112" s="54"/>
      <c r="O112" s="55">
        <v>549.22797089999995</v>
      </c>
      <c r="P112" s="53"/>
    </row>
    <row r="113" spans="1:16" customFormat="1" ht="15" x14ac:dyDescent="0.2">
      <c r="A113" s="54" t="s">
        <v>131</v>
      </c>
      <c r="B113" s="55">
        <v>49.515999999999998</v>
      </c>
      <c r="C113" s="55">
        <v>2.649</v>
      </c>
      <c r="D113" s="55">
        <v>12.298</v>
      </c>
      <c r="E113" s="55">
        <v>9.6449499999999997</v>
      </c>
      <c r="F113" s="55">
        <v>1.8911659999999999</v>
      </c>
      <c r="G113" s="55">
        <v>0.23200000000000001</v>
      </c>
      <c r="H113" s="55">
        <v>9.81</v>
      </c>
      <c r="I113" s="55">
        <v>11.002000000000001</v>
      </c>
      <c r="J113">
        <v>2.21</v>
      </c>
      <c r="K113" s="55">
        <v>0.48899999999999999</v>
      </c>
      <c r="L113" s="55">
        <v>0.26800000000000002</v>
      </c>
      <c r="M113" s="55">
        <v>0</v>
      </c>
      <c r="N113" s="54"/>
      <c r="O113" s="55">
        <v>939.02779629999998</v>
      </c>
      <c r="P113" s="5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6E2C-59D9-43D4-85AD-BEDA76B56CAB}">
  <dimension ref="A1:R126"/>
  <sheetViews>
    <sheetView workbookViewId="0">
      <selection activeCell="I21" sqref="I21"/>
    </sheetView>
  </sheetViews>
  <sheetFormatPr baseColWidth="10" defaultColWidth="8.83203125" defaultRowHeight="13" x14ac:dyDescent="0.15"/>
  <cols>
    <col min="16" max="16" width="9" style="40" bestFit="1" customWidth="1"/>
  </cols>
  <sheetData>
    <row r="1" spans="1:18" ht="30" x14ac:dyDescent="0.15">
      <c r="A1" s="56" t="s">
        <v>6</v>
      </c>
      <c r="B1" s="56" t="s">
        <v>7</v>
      </c>
      <c r="C1" s="56" t="s">
        <v>8</v>
      </c>
      <c r="D1" s="56" t="s">
        <v>10</v>
      </c>
      <c r="E1" s="56" t="s">
        <v>9</v>
      </c>
      <c r="F1" s="56" t="s">
        <v>649</v>
      </c>
      <c r="G1" s="56" t="s">
        <v>11</v>
      </c>
      <c r="H1" s="56" t="s">
        <v>12</v>
      </c>
      <c r="I1" s="56" t="s">
        <v>13</v>
      </c>
      <c r="J1" s="56" t="s">
        <v>14</v>
      </c>
      <c r="K1" s="56" t="s">
        <v>15</v>
      </c>
      <c r="L1" s="56" t="s">
        <v>16</v>
      </c>
      <c r="M1" s="56" t="s">
        <v>645</v>
      </c>
      <c r="N1" s="56" t="s">
        <v>551</v>
      </c>
      <c r="O1" s="56"/>
      <c r="P1" s="57" t="s">
        <v>646</v>
      </c>
      <c r="Q1" s="58" t="s">
        <v>647</v>
      </c>
      <c r="R1" s="56" t="s">
        <v>648</v>
      </c>
    </row>
    <row r="2" spans="1:18" ht="14" x14ac:dyDescent="0.15">
      <c r="A2" s="59">
        <v>48.438000000000002</v>
      </c>
      <c r="B2" s="59">
        <v>2.4049999999999998</v>
      </c>
      <c r="C2" s="59">
        <v>11.941000000000001</v>
      </c>
      <c r="D2" s="59">
        <v>1.7210000000000001</v>
      </c>
      <c r="E2" s="59">
        <v>9.782</v>
      </c>
      <c r="F2" s="59">
        <v>0.34899999999999998</v>
      </c>
      <c r="G2" s="59">
        <f>F2/1.65</f>
        <v>0.21151515151515152</v>
      </c>
      <c r="H2" s="59">
        <v>11.516</v>
      </c>
      <c r="I2" s="59">
        <v>10.412000000000001</v>
      </c>
      <c r="J2" s="59">
        <v>2.032</v>
      </c>
      <c r="K2" s="59">
        <v>0.54500000000000004</v>
      </c>
      <c r="L2" s="59">
        <v>0.36599999999999999</v>
      </c>
      <c r="M2" s="59">
        <v>0</v>
      </c>
      <c r="N2" s="59">
        <v>11.331</v>
      </c>
      <c r="O2" s="59">
        <v>11.33</v>
      </c>
      <c r="P2" s="60">
        <v>0.2366</v>
      </c>
      <c r="Q2" s="61">
        <v>0.98521212121212121</v>
      </c>
      <c r="R2" s="51">
        <f>P2*5004*Q2</f>
        <v>1166.4383441454545</v>
      </c>
    </row>
    <row r="3" spans="1:18" ht="14" x14ac:dyDescent="0.15">
      <c r="A3" s="59">
        <v>49.018999999999998</v>
      </c>
      <c r="B3" s="59">
        <v>2.4020000000000001</v>
      </c>
      <c r="C3" s="59">
        <v>11.65</v>
      </c>
      <c r="D3" s="59">
        <v>1.6779999999999999</v>
      </c>
      <c r="E3" s="59">
        <v>9.8260000000000005</v>
      </c>
      <c r="F3" s="59">
        <v>0.33100000000000002</v>
      </c>
      <c r="G3" s="59">
        <f t="shared" ref="G3:G66" si="0">F3/1.65</f>
        <v>0.20060606060606062</v>
      </c>
      <c r="H3" s="59">
        <v>12.103</v>
      </c>
      <c r="I3" s="59">
        <v>10.077999999999999</v>
      </c>
      <c r="J3" s="59">
        <v>1.8069999999999999</v>
      </c>
      <c r="K3" s="59">
        <v>0.41499999999999998</v>
      </c>
      <c r="L3" s="59">
        <v>0.253</v>
      </c>
      <c r="M3" s="59">
        <v>0</v>
      </c>
      <c r="N3" s="59">
        <v>11.335000000000001</v>
      </c>
      <c r="O3" s="59">
        <v>11.33</v>
      </c>
      <c r="P3" s="60">
        <v>0.20499999999999999</v>
      </c>
      <c r="Q3" s="61">
        <v>0.88060428849902528</v>
      </c>
      <c r="R3" s="51">
        <f t="shared" ref="R3:R66" si="1">P3*5004*Q3</f>
        <v>903.34149122807003</v>
      </c>
    </row>
    <row r="4" spans="1:18" ht="14" x14ac:dyDescent="0.15">
      <c r="A4" s="59">
        <v>48.823</v>
      </c>
      <c r="B4" s="59">
        <v>2.5390000000000001</v>
      </c>
      <c r="C4" s="59">
        <v>11.462999999999999</v>
      </c>
      <c r="D4" s="59">
        <v>1.7569999999999999</v>
      </c>
      <c r="E4" s="59">
        <v>9.7539999999999996</v>
      </c>
      <c r="F4" s="59">
        <v>0.41499999999999998</v>
      </c>
      <c r="G4" s="59">
        <f t="shared" si="0"/>
        <v>0.25151515151515152</v>
      </c>
      <c r="H4" s="59">
        <v>11.164</v>
      </c>
      <c r="I4" s="59">
        <v>10.737</v>
      </c>
      <c r="J4" s="59">
        <v>2.1349999999999998</v>
      </c>
      <c r="K4" s="59">
        <v>0.434</v>
      </c>
      <c r="L4" s="59">
        <v>0.29799999999999999</v>
      </c>
      <c r="M4" s="59">
        <v>0</v>
      </c>
      <c r="N4" s="59">
        <v>11.336</v>
      </c>
      <c r="O4" s="59">
        <v>11.33</v>
      </c>
      <c r="P4" s="60">
        <v>0.27910000000000001</v>
      </c>
      <c r="Q4" s="61">
        <v>0.95920567885704011</v>
      </c>
      <c r="R4" s="51">
        <f t="shared" si="1"/>
        <v>1339.6423820648756</v>
      </c>
    </row>
    <row r="5" spans="1:18" ht="14" x14ac:dyDescent="0.15">
      <c r="A5" s="59">
        <v>48.514000000000003</v>
      </c>
      <c r="B5" s="59">
        <v>2.1920000000000002</v>
      </c>
      <c r="C5" s="59">
        <v>11.288</v>
      </c>
      <c r="D5" s="59">
        <v>1.6919999999999999</v>
      </c>
      <c r="E5" s="59">
        <v>9.8079999999999998</v>
      </c>
      <c r="F5" s="59">
        <v>0.33400000000000002</v>
      </c>
      <c r="G5" s="59">
        <f t="shared" si="0"/>
        <v>0.20242424242424245</v>
      </c>
      <c r="H5" s="59">
        <v>13.321</v>
      </c>
      <c r="I5" s="59">
        <v>9.9190000000000005</v>
      </c>
      <c r="J5" s="59">
        <v>1.754</v>
      </c>
      <c r="K5" s="59">
        <v>0.48399999999999999</v>
      </c>
      <c r="L5" s="59">
        <v>0.26100000000000001</v>
      </c>
      <c r="M5" s="59">
        <v>0</v>
      </c>
      <c r="N5" s="59">
        <v>11.331</v>
      </c>
      <c r="O5" s="59">
        <v>11.33</v>
      </c>
      <c r="P5" s="60">
        <v>0.23369999999999999</v>
      </c>
      <c r="Q5" s="61">
        <v>0.86386918833727333</v>
      </c>
      <c r="R5" s="51">
        <f t="shared" si="1"/>
        <v>1010.2386914893616</v>
      </c>
    </row>
    <row r="6" spans="1:18" ht="14" x14ac:dyDescent="0.15">
      <c r="A6" s="59">
        <v>49.328000000000003</v>
      </c>
      <c r="B6" s="59">
        <v>2.3690000000000002</v>
      </c>
      <c r="C6" s="59">
        <v>11.954000000000001</v>
      </c>
      <c r="D6" s="59">
        <v>1.6930000000000001</v>
      </c>
      <c r="E6" s="59">
        <v>9.8209999999999997</v>
      </c>
      <c r="F6" s="59">
        <v>0.28699999999999998</v>
      </c>
      <c r="G6" s="59">
        <f t="shared" si="0"/>
        <v>0.17393939393939392</v>
      </c>
      <c r="H6" s="59">
        <v>11.137</v>
      </c>
      <c r="I6" s="59">
        <v>10.442</v>
      </c>
      <c r="J6" s="59">
        <v>1.9119999999999999</v>
      </c>
      <c r="K6" s="59">
        <v>0.41299999999999998</v>
      </c>
      <c r="L6" s="59">
        <v>0.20200000000000001</v>
      </c>
      <c r="M6" s="59">
        <v>0</v>
      </c>
      <c r="N6" s="59">
        <v>11.343999999999999</v>
      </c>
      <c r="O6" s="59">
        <v>11.33</v>
      </c>
      <c r="P6" s="60">
        <v>8.72E-2</v>
      </c>
      <c r="Q6" s="61">
        <v>0.88699202078307648</v>
      </c>
      <c r="R6" s="51">
        <f t="shared" si="1"/>
        <v>387.03790387827047</v>
      </c>
    </row>
    <row r="7" spans="1:18" ht="14" x14ac:dyDescent="0.15">
      <c r="A7" s="59">
        <v>50.142000000000003</v>
      </c>
      <c r="B7" s="59">
        <v>2.2570000000000001</v>
      </c>
      <c r="C7" s="59">
        <v>12.224</v>
      </c>
      <c r="D7" s="59">
        <v>1.6519999999999999</v>
      </c>
      <c r="E7" s="59">
        <v>9.8650000000000002</v>
      </c>
      <c r="F7" s="59">
        <v>0.32300000000000001</v>
      </c>
      <c r="G7" s="59">
        <f t="shared" si="0"/>
        <v>0.19575757575757577</v>
      </c>
      <c r="H7" s="59">
        <v>10.215</v>
      </c>
      <c r="I7" s="59">
        <v>10.476000000000001</v>
      </c>
      <c r="J7" s="59">
        <v>1.754</v>
      </c>
      <c r="K7" s="59">
        <v>0.39800000000000002</v>
      </c>
      <c r="L7" s="59">
        <v>0.23300000000000001</v>
      </c>
      <c r="M7" s="59">
        <v>0</v>
      </c>
      <c r="N7" s="59">
        <v>11.351000000000001</v>
      </c>
      <c r="O7" s="59">
        <v>11.33</v>
      </c>
      <c r="P7" s="60">
        <v>0.28899999999999998</v>
      </c>
      <c r="Q7" s="61">
        <v>0.92296358661334454</v>
      </c>
      <c r="R7" s="51">
        <f t="shared" si="1"/>
        <v>1334.7493285624078</v>
      </c>
    </row>
    <row r="8" spans="1:18" ht="14" x14ac:dyDescent="0.15">
      <c r="A8" s="59">
        <v>49.101999999999997</v>
      </c>
      <c r="B8" s="59">
        <v>2.2799999999999998</v>
      </c>
      <c r="C8" s="59">
        <v>11.472</v>
      </c>
      <c r="D8" s="59">
        <v>1.704</v>
      </c>
      <c r="E8" s="59">
        <v>9.8049999999999997</v>
      </c>
      <c r="F8" s="59">
        <v>0.32800000000000001</v>
      </c>
      <c r="G8" s="59">
        <f t="shared" si="0"/>
        <v>0.19878787878787882</v>
      </c>
      <c r="H8" s="59">
        <v>12.196</v>
      </c>
      <c r="I8" s="59">
        <v>9.9239999999999995</v>
      </c>
      <c r="J8" s="59">
        <v>1.9930000000000001</v>
      </c>
      <c r="K8" s="59">
        <v>0.47099999999999997</v>
      </c>
      <c r="L8" s="59">
        <v>0.248</v>
      </c>
      <c r="M8" s="59">
        <v>0</v>
      </c>
      <c r="N8" s="59">
        <v>11.339</v>
      </c>
      <c r="O8" s="59">
        <v>11.33</v>
      </c>
      <c r="P8" s="60">
        <v>0.29959999999999998</v>
      </c>
      <c r="Q8" s="61">
        <v>0.95190332903472319</v>
      </c>
      <c r="R8" s="51">
        <f t="shared" si="1"/>
        <v>1427.0919478435305</v>
      </c>
    </row>
    <row r="9" spans="1:18" ht="14" x14ac:dyDescent="0.15">
      <c r="A9" s="59">
        <v>49.545000000000002</v>
      </c>
      <c r="B9" s="59">
        <v>2.58</v>
      </c>
      <c r="C9" s="59">
        <v>13.032</v>
      </c>
      <c r="D9" s="59">
        <v>1.724</v>
      </c>
      <c r="E9" s="59">
        <v>9.8339999999999996</v>
      </c>
      <c r="F9" s="59">
        <v>0.36699999999999999</v>
      </c>
      <c r="G9" s="59">
        <f t="shared" si="0"/>
        <v>0.22242424242424244</v>
      </c>
      <c r="H9" s="59">
        <v>8.3109999999999999</v>
      </c>
      <c r="I9" s="59">
        <v>10.936999999999999</v>
      </c>
      <c r="J9" s="59">
        <v>2.3410000000000002</v>
      </c>
      <c r="K9" s="59">
        <v>0.53200000000000003</v>
      </c>
      <c r="L9" s="59">
        <v>0.29499999999999998</v>
      </c>
      <c r="M9" s="59">
        <v>0</v>
      </c>
      <c r="N9" s="59">
        <v>11.385</v>
      </c>
      <c r="O9" s="59">
        <v>11.33</v>
      </c>
      <c r="P9" s="60">
        <v>0.27039999999999997</v>
      </c>
      <c r="Q9" s="61">
        <v>1.0053682628301481</v>
      </c>
      <c r="R9" s="51">
        <f t="shared" si="1"/>
        <v>1360.3452976594374</v>
      </c>
    </row>
    <row r="10" spans="1:18" ht="14" x14ac:dyDescent="0.15">
      <c r="A10" s="59">
        <v>49.697000000000003</v>
      </c>
      <c r="B10" s="59">
        <v>2.5310000000000001</v>
      </c>
      <c r="C10" s="59">
        <v>12.736000000000001</v>
      </c>
      <c r="D10" s="59">
        <v>1.7</v>
      </c>
      <c r="E10" s="59">
        <v>9.81</v>
      </c>
      <c r="F10" s="59">
        <v>0.42299999999999999</v>
      </c>
      <c r="G10" s="59">
        <f t="shared" si="0"/>
        <v>0.25636363636363635</v>
      </c>
      <c r="H10" s="59">
        <v>8.7149999999999999</v>
      </c>
      <c r="I10" s="59">
        <v>11.12</v>
      </c>
      <c r="J10" s="59">
        <v>2.0640000000000001</v>
      </c>
      <c r="K10" s="59">
        <v>0.47299999999999998</v>
      </c>
      <c r="L10" s="59">
        <v>0.223</v>
      </c>
      <c r="M10" s="59">
        <v>0</v>
      </c>
      <c r="N10" s="59">
        <v>11.34</v>
      </c>
      <c r="O10" s="59">
        <v>11.33</v>
      </c>
      <c r="P10" s="60">
        <v>0.25430000000000003</v>
      </c>
      <c r="Q10" s="61">
        <v>1.0171496156120639</v>
      </c>
      <c r="R10" s="51">
        <f t="shared" si="1"/>
        <v>1294.34038083974</v>
      </c>
    </row>
    <row r="11" spans="1:18" ht="14" x14ac:dyDescent="0.15">
      <c r="A11" s="59">
        <v>50.045999999999999</v>
      </c>
      <c r="B11" s="59">
        <v>2.2309999999999999</v>
      </c>
      <c r="C11" s="59">
        <v>12.294</v>
      </c>
      <c r="D11" s="59">
        <v>1.706</v>
      </c>
      <c r="E11" s="59">
        <v>9.7959999999999994</v>
      </c>
      <c r="F11" s="59">
        <v>0.35099999999999998</v>
      </c>
      <c r="G11" s="59">
        <f t="shared" si="0"/>
        <v>0.21272727272727274</v>
      </c>
      <c r="H11" s="59">
        <v>9.7149999999999999</v>
      </c>
      <c r="I11" s="59">
        <v>10.599</v>
      </c>
      <c r="J11" s="59">
        <v>2.1520000000000001</v>
      </c>
      <c r="K11" s="59">
        <v>0.45500000000000002</v>
      </c>
      <c r="L11" s="59">
        <v>0.187</v>
      </c>
      <c r="M11" s="59">
        <v>0</v>
      </c>
      <c r="N11" s="59">
        <v>11.331</v>
      </c>
      <c r="O11" s="59">
        <v>11.33</v>
      </c>
      <c r="P11" s="60">
        <v>0.14760000000000001</v>
      </c>
      <c r="Q11" s="61">
        <v>0.93801760962426994</v>
      </c>
      <c r="R11" s="51">
        <f t="shared" si="1"/>
        <v>692.81080149943341</v>
      </c>
    </row>
    <row r="12" spans="1:18" ht="14" x14ac:dyDescent="0.15">
      <c r="A12" s="59">
        <v>48.972999999999999</v>
      </c>
      <c r="B12" s="59">
        <v>2.1749999999999998</v>
      </c>
      <c r="C12" s="59">
        <v>11.744999999999999</v>
      </c>
      <c r="D12" s="59">
        <v>1.716</v>
      </c>
      <c r="E12" s="59">
        <v>9.7959999999999994</v>
      </c>
      <c r="F12" s="59">
        <v>0.317</v>
      </c>
      <c r="G12" s="59">
        <f t="shared" si="0"/>
        <v>0.19212121212121214</v>
      </c>
      <c r="H12" s="59">
        <v>11.657</v>
      </c>
      <c r="I12" s="59">
        <v>10.368</v>
      </c>
      <c r="J12" s="59">
        <v>2.0950000000000002</v>
      </c>
      <c r="K12" s="59">
        <v>0.32800000000000001</v>
      </c>
      <c r="L12" s="59">
        <v>0.34599999999999997</v>
      </c>
      <c r="M12" s="59">
        <v>0</v>
      </c>
      <c r="N12" s="59">
        <v>11.34</v>
      </c>
      <c r="O12" s="59">
        <v>11.33</v>
      </c>
      <c r="P12" s="60">
        <v>0.27600000000000002</v>
      </c>
      <c r="Q12" s="61">
        <v>0.96847263313609488</v>
      </c>
      <c r="R12" s="51">
        <f t="shared" si="1"/>
        <v>1337.5614275147932</v>
      </c>
    </row>
    <row r="13" spans="1:18" ht="14" x14ac:dyDescent="0.15">
      <c r="A13" s="59">
        <v>47.837000000000003</v>
      </c>
      <c r="B13" s="59">
        <v>2.5920000000000001</v>
      </c>
      <c r="C13" s="59">
        <v>11.914999999999999</v>
      </c>
      <c r="D13" s="59">
        <v>1.744</v>
      </c>
      <c r="E13" s="59">
        <v>9.7609999999999992</v>
      </c>
      <c r="F13" s="59">
        <v>0.34599999999999997</v>
      </c>
      <c r="G13" s="59">
        <f t="shared" si="0"/>
        <v>0.20969696969696969</v>
      </c>
      <c r="H13" s="59">
        <v>12.013999999999999</v>
      </c>
      <c r="I13" s="59">
        <v>10.179</v>
      </c>
      <c r="J13" s="59">
        <v>2.1970000000000001</v>
      </c>
      <c r="K13" s="59">
        <v>0.63100000000000001</v>
      </c>
      <c r="L13" s="59">
        <v>0.309</v>
      </c>
      <c r="M13" s="59">
        <v>0</v>
      </c>
      <c r="N13" s="59">
        <v>11.331</v>
      </c>
      <c r="O13" s="59">
        <v>11.33</v>
      </c>
      <c r="P13" s="60">
        <v>0.26340000000000002</v>
      </c>
      <c r="Q13" s="61">
        <v>0.94829074585635353</v>
      </c>
      <c r="R13" s="51">
        <f t="shared" si="1"/>
        <v>1249.8980314226521</v>
      </c>
    </row>
    <row r="14" spans="1:18" ht="14" x14ac:dyDescent="0.15">
      <c r="A14" s="59">
        <v>52.683</v>
      </c>
      <c r="B14" s="59">
        <v>2.9929999999999999</v>
      </c>
      <c r="C14" s="59">
        <v>12.548999999999999</v>
      </c>
      <c r="D14" s="59">
        <v>1.6339999999999999</v>
      </c>
      <c r="E14" s="59">
        <v>9.85</v>
      </c>
      <c r="F14" s="59">
        <v>0.41199999999999998</v>
      </c>
      <c r="G14" s="59">
        <f t="shared" si="0"/>
        <v>0.2496969696969697</v>
      </c>
      <c r="H14" s="59">
        <v>6.8819999999999997</v>
      </c>
      <c r="I14" s="59">
        <v>8.8409999999999993</v>
      </c>
      <c r="J14" s="59">
        <v>2.7919999999999998</v>
      </c>
      <c r="K14" s="59">
        <v>0.49199999999999999</v>
      </c>
      <c r="L14" s="59">
        <v>0.28999999999999998</v>
      </c>
      <c r="M14" s="59">
        <v>0</v>
      </c>
      <c r="N14" s="59">
        <v>11.321</v>
      </c>
      <c r="O14" s="59">
        <v>11.33</v>
      </c>
      <c r="P14" s="60">
        <v>0.13350000000000001</v>
      </c>
      <c r="Q14" s="61">
        <v>1.1606734566618166</v>
      </c>
      <c r="R14" s="51">
        <f t="shared" si="1"/>
        <v>775.36933194762003</v>
      </c>
    </row>
    <row r="15" spans="1:18" ht="14" x14ac:dyDescent="0.15">
      <c r="A15" s="59">
        <v>48.734000000000002</v>
      </c>
      <c r="B15" s="59">
        <v>2.4689999999999999</v>
      </c>
      <c r="C15" s="59">
        <v>11.332000000000001</v>
      </c>
      <c r="D15" s="59">
        <v>1.718</v>
      </c>
      <c r="E15" s="59">
        <v>9.7889999999999997</v>
      </c>
      <c r="F15" s="59">
        <v>0.33200000000000002</v>
      </c>
      <c r="G15" s="59">
        <f t="shared" si="0"/>
        <v>0.20121212121212123</v>
      </c>
      <c r="H15" s="59">
        <v>12.228999999999999</v>
      </c>
      <c r="I15" s="59">
        <v>10.241</v>
      </c>
      <c r="J15" s="59">
        <v>1.954</v>
      </c>
      <c r="K15" s="59">
        <v>0.41499999999999998</v>
      </c>
      <c r="L15" s="59">
        <v>0.32</v>
      </c>
      <c r="M15" s="59">
        <v>0</v>
      </c>
      <c r="N15" s="59">
        <v>11.335000000000001</v>
      </c>
      <c r="O15" s="59">
        <v>11.33</v>
      </c>
      <c r="P15" s="60">
        <v>0.2757</v>
      </c>
      <c r="Q15" s="61">
        <v>0.93421304264677751</v>
      </c>
      <c r="R15" s="51">
        <f t="shared" si="1"/>
        <v>1288.8429294320138</v>
      </c>
    </row>
    <row r="16" spans="1:18" ht="14" x14ac:dyDescent="0.15">
      <c r="A16" s="59">
        <v>48.469000000000001</v>
      </c>
      <c r="B16" s="59">
        <v>2.2749999999999999</v>
      </c>
      <c r="C16" s="59">
        <v>11.878</v>
      </c>
      <c r="D16" s="59">
        <v>1.7290000000000001</v>
      </c>
      <c r="E16" s="59">
        <v>9.7759999999999998</v>
      </c>
      <c r="F16" s="59">
        <v>0.39</v>
      </c>
      <c r="G16" s="59">
        <f t="shared" si="0"/>
        <v>0.23636363636363639</v>
      </c>
      <c r="H16" s="59">
        <v>11.284000000000001</v>
      </c>
      <c r="I16" s="59">
        <v>11.195</v>
      </c>
      <c r="J16" s="59">
        <v>1.8520000000000001</v>
      </c>
      <c r="K16" s="59">
        <v>0.38200000000000001</v>
      </c>
      <c r="L16" s="59">
        <v>0.27900000000000003</v>
      </c>
      <c r="M16" s="59">
        <v>0</v>
      </c>
      <c r="N16" s="59">
        <v>11.332000000000001</v>
      </c>
      <c r="O16" s="59">
        <v>11.33</v>
      </c>
      <c r="P16" s="60">
        <v>0.18820000000000001</v>
      </c>
      <c r="Q16" s="61">
        <v>0.98160809879684108</v>
      </c>
      <c r="R16" s="51">
        <f t="shared" si="1"/>
        <v>924.43217554460171</v>
      </c>
    </row>
    <row r="17" spans="1:18" ht="14" x14ac:dyDescent="0.15">
      <c r="A17" s="59">
        <v>49.091999999999999</v>
      </c>
      <c r="B17" s="59">
        <v>2.1179999999999999</v>
      </c>
      <c r="C17" s="59">
        <v>10.948</v>
      </c>
      <c r="D17" s="59">
        <v>1.7330000000000001</v>
      </c>
      <c r="E17" s="59">
        <v>9.7759999999999998</v>
      </c>
      <c r="F17" s="59">
        <v>0.32800000000000001</v>
      </c>
      <c r="G17" s="59">
        <f t="shared" si="0"/>
        <v>0.19878787878787882</v>
      </c>
      <c r="H17" s="59">
        <v>12.654999999999999</v>
      </c>
      <c r="I17" s="59">
        <v>10.308</v>
      </c>
      <c r="J17" s="59">
        <v>1.9790000000000001</v>
      </c>
      <c r="K17" s="59">
        <v>0.317</v>
      </c>
      <c r="L17" s="59">
        <v>0.28599999999999998</v>
      </c>
      <c r="M17" s="59">
        <v>0</v>
      </c>
      <c r="N17" s="59">
        <v>11.335000000000001</v>
      </c>
      <c r="O17" s="59">
        <v>11.33</v>
      </c>
      <c r="P17" s="60">
        <v>0.25580000000000003</v>
      </c>
      <c r="Q17" s="61">
        <v>0.92029389880952395</v>
      </c>
      <c r="R17" s="51">
        <f t="shared" si="1"/>
        <v>1177.997541294643</v>
      </c>
    </row>
    <row r="18" spans="1:18" ht="14" x14ac:dyDescent="0.15">
      <c r="A18" s="59">
        <v>48.603000000000002</v>
      </c>
      <c r="B18" s="59">
        <v>2.468</v>
      </c>
      <c r="C18" s="59">
        <v>11.228999999999999</v>
      </c>
      <c r="D18" s="59">
        <v>1.7090000000000001</v>
      </c>
      <c r="E18" s="59">
        <v>9.8000000000000007</v>
      </c>
      <c r="F18" s="59">
        <v>0.35299999999999998</v>
      </c>
      <c r="G18" s="59">
        <f t="shared" si="0"/>
        <v>0.21393939393939393</v>
      </c>
      <c r="H18" s="59">
        <v>12.542999999999999</v>
      </c>
      <c r="I18" s="59">
        <v>10.222</v>
      </c>
      <c r="J18" s="59">
        <v>1.823</v>
      </c>
      <c r="K18" s="59">
        <v>0.44400000000000001</v>
      </c>
      <c r="L18" s="59">
        <v>0.32400000000000001</v>
      </c>
      <c r="M18" s="59">
        <v>0</v>
      </c>
      <c r="N18" s="59">
        <v>11.337999999999999</v>
      </c>
      <c r="O18" s="59">
        <v>11.33</v>
      </c>
      <c r="P18" s="60">
        <v>0.25600000000000001</v>
      </c>
      <c r="Q18" s="61">
        <v>0.9624115721676697</v>
      </c>
      <c r="R18" s="51">
        <f t="shared" si="1"/>
        <v>1232.872321824517</v>
      </c>
    </row>
    <row r="19" spans="1:18" ht="14" x14ac:dyDescent="0.15">
      <c r="A19" s="59">
        <v>48.789000000000001</v>
      </c>
      <c r="B19" s="59">
        <v>2.298</v>
      </c>
      <c r="C19" s="59">
        <v>11.132</v>
      </c>
      <c r="D19" s="59">
        <v>1.774</v>
      </c>
      <c r="E19" s="59">
        <v>9.7370000000000001</v>
      </c>
      <c r="F19" s="59">
        <v>0.4</v>
      </c>
      <c r="G19" s="59">
        <f t="shared" si="0"/>
        <v>0.24242424242424246</v>
      </c>
      <c r="H19" s="59">
        <v>11.215999999999999</v>
      </c>
      <c r="I19" s="59">
        <v>11.643000000000001</v>
      </c>
      <c r="J19" s="59">
        <v>1.776</v>
      </c>
      <c r="K19" s="59">
        <v>0.41199999999999998</v>
      </c>
      <c r="L19" s="59">
        <v>0.314</v>
      </c>
      <c r="M19" s="59">
        <v>0</v>
      </c>
      <c r="N19" s="59">
        <v>11.333</v>
      </c>
      <c r="O19" s="59">
        <v>11.33</v>
      </c>
      <c r="P19" s="60">
        <v>0.2596</v>
      </c>
      <c r="Q19" s="61">
        <v>1.0170656282212804</v>
      </c>
      <c r="R19" s="51">
        <f t="shared" si="1"/>
        <v>1321.2073063795669</v>
      </c>
    </row>
    <row r="20" spans="1:18" ht="14" x14ac:dyDescent="0.15">
      <c r="A20" s="59">
        <v>49.534999999999997</v>
      </c>
      <c r="B20" s="59">
        <v>2.0459999999999998</v>
      </c>
      <c r="C20" s="59">
        <v>11.457000000000001</v>
      </c>
      <c r="D20" s="59">
        <v>1.6579999999999999</v>
      </c>
      <c r="E20" s="59">
        <v>9.8390000000000004</v>
      </c>
      <c r="F20" s="59">
        <v>0.39800000000000002</v>
      </c>
      <c r="G20" s="59">
        <f t="shared" si="0"/>
        <v>0.24121212121212124</v>
      </c>
      <c r="H20" s="59">
        <v>12.337</v>
      </c>
      <c r="I20" s="59">
        <v>10.127000000000001</v>
      </c>
      <c r="J20" s="59">
        <v>1.617</v>
      </c>
      <c r="K20" s="59">
        <v>0.35199999999999998</v>
      </c>
      <c r="L20" s="59">
        <v>0.19900000000000001</v>
      </c>
      <c r="M20" s="59">
        <v>0</v>
      </c>
      <c r="N20" s="59">
        <v>11.331</v>
      </c>
      <c r="O20" s="59">
        <v>11.33</v>
      </c>
      <c r="P20" s="60">
        <v>0.3206</v>
      </c>
      <c r="Q20" s="61">
        <v>0.86637376768109731</v>
      </c>
      <c r="R20" s="51">
        <f t="shared" si="1"/>
        <v>1389.9081873124733</v>
      </c>
    </row>
    <row r="21" spans="1:18" ht="14" x14ac:dyDescent="0.15">
      <c r="A21" s="59">
        <v>48.640999999999998</v>
      </c>
      <c r="B21" s="59">
        <v>2.0539999999999998</v>
      </c>
      <c r="C21" s="59">
        <v>11.254</v>
      </c>
      <c r="D21" s="59">
        <v>1.6930000000000001</v>
      </c>
      <c r="E21" s="59">
        <v>9.8089999999999993</v>
      </c>
      <c r="F21" s="59">
        <v>0.40400000000000003</v>
      </c>
      <c r="G21" s="59">
        <f t="shared" si="0"/>
        <v>0.24484848484848487</v>
      </c>
      <c r="H21" s="59">
        <v>13.34</v>
      </c>
      <c r="I21" s="59">
        <v>10.041</v>
      </c>
      <c r="J21" s="59">
        <v>1.7909999999999999</v>
      </c>
      <c r="K21" s="59">
        <v>0.34399999999999997</v>
      </c>
      <c r="L21" s="59">
        <v>0.19500000000000001</v>
      </c>
      <c r="M21" s="59">
        <v>0</v>
      </c>
      <c r="N21" s="59">
        <v>11.332000000000001</v>
      </c>
      <c r="O21" s="59">
        <v>11.33</v>
      </c>
      <c r="P21" s="60">
        <v>0.29899999999999999</v>
      </c>
      <c r="Q21" s="61">
        <v>0.86848996217631658</v>
      </c>
      <c r="R21" s="51">
        <f t="shared" si="1"/>
        <v>1299.4312074483562</v>
      </c>
    </row>
    <row r="22" spans="1:18" ht="14" x14ac:dyDescent="0.15">
      <c r="A22" s="59">
        <v>49.505000000000003</v>
      </c>
      <c r="B22" s="59">
        <v>2.9660000000000002</v>
      </c>
      <c r="C22" s="59">
        <v>13.108000000000001</v>
      </c>
      <c r="D22" s="59">
        <v>1.696</v>
      </c>
      <c r="E22" s="59">
        <v>9.8119999999999994</v>
      </c>
      <c r="F22" s="59">
        <v>0.375</v>
      </c>
      <c r="G22" s="59">
        <f t="shared" si="0"/>
        <v>0.22727272727272729</v>
      </c>
      <c r="H22" s="59">
        <v>8.4779999999999998</v>
      </c>
      <c r="I22" s="59">
        <v>10.118</v>
      </c>
      <c r="J22" s="59">
        <v>2.585</v>
      </c>
      <c r="K22" s="59">
        <v>0.5</v>
      </c>
      <c r="L22" s="59">
        <v>0.35899999999999999</v>
      </c>
      <c r="M22" s="59">
        <v>0</v>
      </c>
      <c r="N22" s="59">
        <v>11.337999999999999</v>
      </c>
      <c r="O22" s="59">
        <v>11.33</v>
      </c>
      <c r="P22" s="60">
        <v>0.34300000000000003</v>
      </c>
      <c r="Q22" s="61">
        <v>0.99718396790494934</v>
      </c>
      <c r="R22" s="51">
        <f t="shared" si="1"/>
        <v>1711.5386413609538</v>
      </c>
    </row>
    <row r="23" spans="1:18" ht="14" x14ac:dyDescent="0.15">
      <c r="A23" s="59">
        <v>50.131</v>
      </c>
      <c r="B23" s="59">
        <v>2.617</v>
      </c>
      <c r="C23" s="59">
        <v>12.887</v>
      </c>
      <c r="D23" s="59">
        <v>1.696</v>
      </c>
      <c r="E23" s="59">
        <v>9.81</v>
      </c>
      <c r="F23" s="59">
        <v>0.33600000000000002</v>
      </c>
      <c r="G23" s="59">
        <f t="shared" si="0"/>
        <v>0.20363636363636367</v>
      </c>
      <c r="H23" s="59">
        <v>8.17</v>
      </c>
      <c r="I23" s="59">
        <v>10.856</v>
      </c>
      <c r="J23" s="59">
        <v>2.2349999999999999</v>
      </c>
      <c r="K23" s="59">
        <v>0.496</v>
      </c>
      <c r="L23" s="59">
        <v>0.28599999999999998</v>
      </c>
      <c r="M23" s="59">
        <v>0</v>
      </c>
      <c r="N23" s="59">
        <v>11.336</v>
      </c>
      <c r="O23" s="59">
        <v>11.33</v>
      </c>
      <c r="P23" s="60">
        <v>0.27989999999999998</v>
      </c>
      <c r="Q23" s="61">
        <v>0.96240795762821341</v>
      </c>
      <c r="R23" s="51">
        <f t="shared" si="1"/>
        <v>1347.9674486500453</v>
      </c>
    </row>
    <row r="24" spans="1:18" ht="14" x14ac:dyDescent="0.15">
      <c r="A24" s="59">
        <v>49.026000000000003</v>
      </c>
      <c r="B24" s="59">
        <v>2.3570000000000002</v>
      </c>
      <c r="C24" s="59">
        <v>11.393000000000001</v>
      </c>
      <c r="D24" s="59">
        <v>1.6830000000000001</v>
      </c>
      <c r="E24" s="59">
        <v>9.8149999999999995</v>
      </c>
      <c r="F24" s="59">
        <v>0.315</v>
      </c>
      <c r="G24" s="59">
        <f t="shared" si="0"/>
        <v>0.19090909090909092</v>
      </c>
      <c r="H24" s="59">
        <v>12.682</v>
      </c>
      <c r="I24" s="59">
        <v>9.6940000000000008</v>
      </c>
      <c r="J24" s="59">
        <v>1.8680000000000001</v>
      </c>
      <c r="K24" s="59">
        <v>0.48</v>
      </c>
      <c r="L24" s="59">
        <v>0.28100000000000003</v>
      </c>
      <c r="M24" s="59">
        <v>0</v>
      </c>
      <c r="N24" s="59">
        <v>11.33</v>
      </c>
      <c r="O24" s="59">
        <v>11.33</v>
      </c>
      <c r="P24" s="60">
        <v>0.2591</v>
      </c>
      <c r="Q24" s="61">
        <v>0.81079907982117283</v>
      </c>
      <c r="R24" s="51">
        <f t="shared" si="1"/>
        <v>1051.2305200746559</v>
      </c>
    </row>
    <row r="25" spans="1:18" ht="14" x14ac:dyDescent="0.15">
      <c r="A25" s="59">
        <v>48.850999999999999</v>
      </c>
      <c r="B25" s="59">
        <v>2.484</v>
      </c>
      <c r="C25" s="59">
        <v>11.371</v>
      </c>
      <c r="D25" s="59">
        <v>1.73</v>
      </c>
      <c r="E25" s="59">
        <v>9.7759999999999998</v>
      </c>
      <c r="F25" s="59">
        <v>0.29499999999999998</v>
      </c>
      <c r="G25" s="59">
        <f t="shared" si="0"/>
        <v>0.1787878787878788</v>
      </c>
      <c r="H25" s="59">
        <v>12.005000000000001</v>
      </c>
      <c r="I25" s="59">
        <v>10.260999999999999</v>
      </c>
      <c r="J25" s="59">
        <v>2.0459999999999998</v>
      </c>
      <c r="K25" s="59">
        <v>0.44700000000000001</v>
      </c>
      <c r="L25" s="59">
        <v>0.27</v>
      </c>
      <c r="M25" s="59">
        <v>0</v>
      </c>
      <c r="N25" s="59">
        <v>11.333</v>
      </c>
      <c r="O25" s="59">
        <v>11.33</v>
      </c>
      <c r="P25" s="60">
        <v>0.25600000000000001</v>
      </c>
      <c r="Q25" s="61">
        <v>0.92902874267810909</v>
      </c>
      <c r="R25" s="51">
        <f t="shared" si="1"/>
        <v>1190.1081160604822</v>
      </c>
    </row>
    <row r="26" spans="1:18" ht="14" x14ac:dyDescent="0.15">
      <c r="A26" s="59">
        <v>49.347000000000001</v>
      </c>
      <c r="B26" s="59">
        <v>2.2519999999999998</v>
      </c>
      <c r="C26" s="59">
        <v>11.909000000000001</v>
      </c>
      <c r="D26" s="59">
        <v>1.7450000000000001</v>
      </c>
      <c r="E26" s="59">
        <v>9.7639999999999993</v>
      </c>
      <c r="F26" s="59">
        <v>0.311</v>
      </c>
      <c r="G26" s="59">
        <f t="shared" si="0"/>
        <v>0.18848484848484851</v>
      </c>
      <c r="H26" s="59">
        <v>10.000999999999999</v>
      </c>
      <c r="I26" s="59">
        <v>11.738</v>
      </c>
      <c r="J26" s="59">
        <v>1.861</v>
      </c>
      <c r="K26" s="59">
        <v>0.34499999999999997</v>
      </c>
      <c r="L26" s="59">
        <v>0.26500000000000001</v>
      </c>
      <c r="M26" s="59">
        <v>0</v>
      </c>
      <c r="N26" s="59">
        <v>11.334</v>
      </c>
      <c r="O26" s="59">
        <v>11.33</v>
      </c>
      <c r="P26" s="60">
        <v>0.1047</v>
      </c>
      <c r="Q26" s="61">
        <v>0.92426123665259496</v>
      </c>
      <c r="R26" s="51">
        <f t="shared" si="1"/>
        <v>484.23783799354362</v>
      </c>
    </row>
    <row r="27" spans="1:18" ht="14" x14ac:dyDescent="0.15">
      <c r="A27" s="59">
        <v>49.286000000000001</v>
      </c>
      <c r="B27" s="59">
        <v>2.0579999999999998</v>
      </c>
      <c r="C27" s="59">
        <v>11.41</v>
      </c>
      <c r="D27" s="59">
        <v>1.679</v>
      </c>
      <c r="E27" s="59">
        <v>9.8260000000000005</v>
      </c>
      <c r="F27" s="59">
        <v>0.35</v>
      </c>
      <c r="G27" s="59">
        <f t="shared" si="0"/>
        <v>0.21212121212121213</v>
      </c>
      <c r="H27" s="59">
        <v>12.583</v>
      </c>
      <c r="I27" s="59">
        <v>10.038</v>
      </c>
      <c r="J27" s="59">
        <v>1.772</v>
      </c>
      <c r="K27" s="59">
        <v>0.35599999999999998</v>
      </c>
      <c r="L27" s="59">
        <v>0.219</v>
      </c>
      <c r="M27" s="59">
        <v>0</v>
      </c>
      <c r="N27" s="59">
        <v>11.336</v>
      </c>
      <c r="O27" s="59">
        <v>11.33</v>
      </c>
      <c r="P27" s="60">
        <v>0.26050000000000001</v>
      </c>
      <c r="Q27" s="61">
        <v>0.84975782860979232</v>
      </c>
      <c r="R27" s="51">
        <f t="shared" si="1"/>
        <v>1107.6950194216661</v>
      </c>
    </row>
    <row r="28" spans="1:18" ht="14" x14ac:dyDescent="0.15">
      <c r="A28" s="59">
        <v>50.021000000000001</v>
      </c>
      <c r="B28" s="59">
        <v>2.3559999999999999</v>
      </c>
      <c r="C28" s="59">
        <v>11.798999999999999</v>
      </c>
      <c r="D28" s="59">
        <v>1.712</v>
      </c>
      <c r="E28" s="59">
        <v>9.7910000000000004</v>
      </c>
      <c r="F28" s="59">
        <v>0.34</v>
      </c>
      <c r="G28" s="59">
        <f t="shared" si="0"/>
        <v>0.20606060606060608</v>
      </c>
      <c r="H28" s="59">
        <v>10.384</v>
      </c>
      <c r="I28" s="59">
        <v>10.391999999999999</v>
      </c>
      <c r="J28" s="59">
        <v>2.153</v>
      </c>
      <c r="K28" s="59">
        <v>0.38</v>
      </c>
      <c r="L28" s="59">
        <v>0.221</v>
      </c>
      <c r="M28" s="59">
        <v>0</v>
      </c>
      <c r="N28" s="59">
        <v>11.332000000000001</v>
      </c>
      <c r="O28" s="59">
        <v>11.33</v>
      </c>
      <c r="P28" s="60">
        <v>0.24099999999999999</v>
      </c>
      <c r="Q28" s="61">
        <v>0.90257399178334863</v>
      </c>
      <c r="R28" s="51">
        <f t="shared" si="1"/>
        <v>1088.4717414270142</v>
      </c>
    </row>
    <row r="29" spans="1:18" ht="14" x14ac:dyDescent="0.15">
      <c r="A29" s="59">
        <v>48.997999999999998</v>
      </c>
      <c r="B29" s="59">
        <v>2.02</v>
      </c>
      <c r="C29" s="59">
        <v>11.369</v>
      </c>
      <c r="D29" s="59">
        <v>1.6839999999999999</v>
      </c>
      <c r="E29" s="59">
        <v>9.82</v>
      </c>
      <c r="F29" s="59">
        <v>0.33100000000000002</v>
      </c>
      <c r="G29" s="59">
        <f t="shared" si="0"/>
        <v>0.20060606060606062</v>
      </c>
      <c r="H29" s="59">
        <v>13.15</v>
      </c>
      <c r="I29" s="59">
        <v>9.7560000000000002</v>
      </c>
      <c r="J29" s="59">
        <v>1.8859999999999999</v>
      </c>
      <c r="K29" s="59">
        <v>0.35099999999999998</v>
      </c>
      <c r="L29" s="59">
        <v>0.21299999999999999</v>
      </c>
      <c r="M29" s="59">
        <v>0</v>
      </c>
      <c r="N29" s="59">
        <v>11.335000000000001</v>
      </c>
      <c r="O29" s="59">
        <v>11.33</v>
      </c>
      <c r="P29" s="60">
        <v>0.26629999999999998</v>
      </c>
      <c r="Q29" s="61">
        <v>0.84775475344990336</v>
      </c>
      <c r="R29" s="51">
        <f t="shared" si="1"/>
        <v>1129.6884825819211</v>
      </c>
    </row>
    <row r="30" spans="1:18" ht="14" x14ac:dyDescent="0.15">
      <c r="A30" s="59">
        <v>49.377000000000002</v>
      </c>
      <c r="B30" s="59">
        <v>1.994</v>
      </c>
      <c r="C30" s="59">
        <v>11.131</v>
      </c>
      <c r="D30" s="59">
        <v>1.6739999999999999</v>
      </c>
      <c r="E30" s="59">
        <v>9.8290000000000006</v>
      </c>
      <c r="F30" s="59">
        <v>0.32100000000000001</v>
      </c>
      <c r="G30" s="59">
        <f t="shared" si="0"/>
        <v>0.19454545454545455</v>
      </c>
      <c r="H30" s="59">
        <v>13.122</v>
      </c>
      <c r="I30" s="59">
        <v>9.7319999999999993</v>
      </c>
      <c r="J30" s="59">
        <v>1.724</v>
      </c>
      <c r="K30" s="59">
        <v>0.41099999999999998</v>
      </c>
      <c r="L30" s="59">
        <v>0.27100000000000002</v>
      </c>
      <c r="M30" s="59">
        <v>0</v>
      </c>
      <c r="N30" s="59">
        <v>11.335000000000001</v>
      </c>
      <c r="O30" s="59">
        <v>11.33</v>
      </c>
      <c r="P30" s="60">
        <v>1.9900000000000001E-2</v>
      </c>
      <c r="Q30" s="61">
        <v>0.82654137501198588</v>
      </c>
      <c r="R30" s="51">
        <f t="shared" si="1"/>
        <v>82.30665950714355</v>
      </c>
    </row>
    <row r="31" spans="1:18" ht="14" x14ac:dyDescent="0.15">
      <c r="A31" s="59">
        <v>49.863999999999997</v>
      </c>
      <c r="B31" s="59">
        <v>2.1669999999999998</v>
      </c>
      <c r="C31" s="59">
        <v>12.028</v>
      </c>
      <c r="D31" s="59">
        <v>1.681</v>
      </c>
      <c r="E31" s="59">
        <v>9.8219999999999992</v>
      </c>
      <c r="F31" s="59">
        <v>0.34200000000000003</v>
      </c>
      <c r="G31" s="59">
        <f t="shared" si="0"/>
        <v>0.2072727272727273</v>
      </c>
      <c r="H31" s="59">
        <v>10.718999999999999</v>
      </c>
      <c r="I31" s="59">
        <v>10.358000000000001</v>
      </c>
      <c r="J31" s="59">
        <v>1.9139999999999999</v>
      </c>
      <c r="K31" s="59">
        <v>0.442</v>
      </c>
      <c r="L31" s="59">
        <v>0.216</v>
      </c>
      <c r="M31" s="59">
        <v>0</v>
      </c>
      <c r="N31" s="59">
        <v>11.335000000000001</v>
      </c>
      <c r="O31" s="59">
        <v>11.33</v>
      </c>
      <c r="P31" s="60">
        <v>0.2838</v>
      </c>
      <c r="Q31" s="61">
        <v>0.89636116704912661</v>
      </c>
      <c r="R31" s="51">
        <f t="shared" si="1"/>
        <v>1272.9540452395447</v>
      </c>
    </row>
    <row r="32" spans="1:18" ht="14" x14ac:dyDescent="0.15">
      <c r="A32" s="59">
        <v>48.573</v>
      </c>
      <c r="B32" s="59">
        <v>2.4569999999999999</v>
      </c>
      <c r="C32" s="59">
        <v>11.471</v>
      </c>
      <c r="D32" s="59">
        <v>1.7010000000000001</v>
      </c>
      <c r="E32" s="59">
        <v>9.8049999999999997</v>
      </c>
      <c r="F32" s="59">
        <v>0.35099999999999998</v>
      </c>
      <c r="G32" s="59">
        <f t="shared" si="0"/>
        <v>0.21272727272727274</v>
      </c>
      <c r="H32" s="59">
        <v>12.747999999999999</v>
      </c>
      <c r="I32" s="59">
        <v>9.8420000000000005</v>
      </c>
      <c r="J32" s="59">
        <v>1.9470000000000001</v>
      </c>
      <c r="K32" s="59">
        <v>0.48099999999999998</v>
      </c>
      <c r="L32" s="59">
        <v>0.187</v>
      </c>
      <c r="M32" s="59">
        <v>0</v>
      </c>
      <c r="N32" s="59">
        <v>11.336</v>
      </c>
      <c r="O32" s="59">
        <v>11.33</v>
      </c>
      <c r="P32" s="60">
        <v>0.28050000000000003</v>
      </c>
      <c r="Q32" s="61">
        <v>0.87407407407407411</v>
      </c>
      <c r="R32" s="51">
        <f t="shared" si="1"/>
        <v>1226.8696000000002</v>
      </c>
    </row>
    <row r="33" spans="1:18" ht="14" x14ac:dyDescent="0.15">
      <c r="A33" s="59">
        <v>48.997999999999998</v>
      </c>
      <c r="B33" s="59">
        <v>2.48</v>
      </c>
      <c r="C33" s="59">
        <v>13.058</v>
      </c>
      <c r="D33" s="59">
        <v>1.7090000000000001</v>
      </c>
      <c r="E33" s="59">
        <v>9.8019999999999996</v>
      </c>
      <c r="F33" s="59">
        <v>0.34200000000000003</v>
      </c>
      <c r="G33" s="59">
        <f t="shared" si="0"/>
        <v>0.2072727272727273</v>
      </c>
      <c r="H33" s="59">
        <v>9.2379999999999995</v>
      </c>
      <c r="I33" s="59">
        <v>10.917</v>
      </c>
      <c r="J33" s="59">
        <v>2.2280000000000002</v>
      </c>
      <c r="K33" s="59">
        <v>0.499</v>
      </c>
      <c r="L33" s="59">
        <v>0.23599999999999999</v>
      </c>
      <c r="M33" s="59">
        <v>0</v>
      </c>
      <c r="N33" s="59">
        <v>11.34</v>
      </c>
      <c r="O33" s="59">
        <v>11.33</v>
      </c>
      <c r="P33" s="60">
        <v>0.27639999999999998</v>
      </c>
      <c r="Q33" s="61">
        <v>0.98618980169971682</v>
      </c>
      <c r="R33" s="51">
        <f t="shared" si="1"/>
        <v>1364.0046373937678</v>
      </c>
    </row>
    <row r="34" spans="1:18" ht="14" x14ac:dyDescent="0.15">
      <c r="A34" s="59">
        <v>50.042000000000002</v>
      </c>
      <c r="B34" s="59">
        <v>2.2559999999999998</v>
      </c>
      <c r="C34" s="59">
        <v>12.212</v>
      </c>
      <c r="D34" s="59">
        <v>1.71</v>
      </c>
      <c r="E34" s="59">
        <v>9.7929999999999993</v>
      </c>
      <c r="F34" s="59">
        <v>0.33300000000000002</v>
      </c>
      <c r="G34" s="59">
        <f t="shared" si="0"/>
        <v>0.20181818181818184</v>
      </c>
      <c r="H34" s="59">
        <v>9.7210000000000001</v>
      </c>
      <c r="I34" s="59">
        <v>10.606999999999999</v>
      </c>
      <c r="J34" s="59">
        <v>2.1840000000000002</v>
      </c>
      <c r="K34" s="59">
        <v>0.41399999999999998</v>
      </c>
      <c r="L34" s="59">
        <v>0.26600000000000001</v>
      </c>
      <c r="M34" s="59">
        <v>0</v>
      </c>
      <c r="N34" s="59">
        <v>11.331</v>
      </c>
      <c r="O34" s="59">
        <v>11.33</v>
      </c>
      <c r="P34" s="60">
        <v>8.0799999999999997E-2</v>
      </c>
      <c r="Q34" s="61">
        <v>0.92601229595081636</v>
      </c>
      <c r="R34" s="51">
        <f t="shared" si="1"/>
        <v>374.40825473818109</v>
      </c>
    </row>
    <row r="35" spans="1:18" ht="14" x14ac:dyDescent="0.15">
      <c r="A35" s="59">
        <v>49.622</v>
      </c>
      <c r="B35" s="59">
        <v>2.52</v>
      </c>
      <c r="C35" s="59">
        <v>13.032</v>
      </c>
      <c r="D35" s="59">
        <v>1.6439999999999999</v>
      </c>
      <c r="E35" s="59">
        <v>9.8520000000000003</v>
      </c>
      <c r="F35" s="59">
        <v>0.39</v>
      </c>
      <c r="G35" s="59">
        <f t="shared" si="0"/>
        <v>0.23636363636363639</v>
      </c>
      <c r="H35" s="59">
        <v>8.8279999999999994</v>
      </c>
      <c r="I35" s="59">
        <v>11.143000000000001</v>
      </c>
      <c r="J35" s="59">
        <v>1.7</v>
      </c>
      <c r="K35" s="59">
        <v>0.502</v>
      </c>
      <c r="L35" s="59">
        <v>0.28199999999999997</v>
      </c>
      <c r="M35" s="59">
        <v>0</v>
      </c>
      <c r="N35" s="59">
        <v>11.332000000000001</v>
      </c>
      <c r="O35" s="59">
        <v>11.33</v>
      </c>
      <c r="P35" s="60">
        <v>0.27510000000000001</v>
      </c>
      <c r="Q35" s="61">
        <v>0.97015351252639392</v>
      </c>
      <c r="R35" s="51">
        <f t="shared" si="1"/>
        <v>1335.5137134052388</v>
      </c>
    </row>
    <row r="36" spans="1:18" ht="14" x14ac:dyDescent="0.15">
      <c r="A36" s="59">
        <v>51.823999999999998</v>
      </c>
      <c r="B36" s="59">
        <v>2.867</v>
      </c>
      <c r="C36" s="59">
        <v>12.590999999999999</v>
      </c>
      <c r="D36" s="59">
        <v>1.5780000000000001</v>
      </c>
      <c r="E36" s="59">
        <v>9.9130000000000003</v>
      </c>
      <c r="F36" s="59">
        <v>0.36599999999999999</v>
      </c>
      <c r="G36" s="59">
        <f t="shared" si="0"/>
        <v>0.22181818181818183</v>
      </c>
      <c r="H36" s="59">
        <v>9.5730000000000004</v>
      </c>
      <c r="I36" s="59">
        <v>7.4020000000000001</v>
      </c>
      <c r="J36" s="59">
        <v>2.6829999999999998</v>
      </c>
      <c r="K36" s="59">
        <v>0.47099999999999997</v>
      </c>
      <c r="L36" s="59">
        <v>0.26800000000000002</v>
      </c>
      <c r="M36" s="59">
        <v>0</v>
      </c>
      <c r="N36" s="59">
        <v>11.333</v>
      </c>
      <c r="O36" s="59">
        <v>11.33</v>
      </c>
      <c r="P36" s="60">
        <v>0.26279999999999998</v>
      </c>
      <c r="Q36" s="61">
        <v>0.92753923805572835</v>
      </c>
      <c r="R36" s="51">
        <f t="shared" si="1"/>
        <v>1219.7615880522712</v>
      </c>
    </row>
    <row r="37" spans="1:18" ht="14" x14ac:dyDescent="0.15">
      <c r="A37" s="59">
        <v>48.704999999999998</v>
      </c>
      <c r="B37" s="59">
        <v>2.359</v>
      </c>
      <c r="C37" s="59">
        <v>11.755000000000001</v>
      </c>
      <c r="D37" s="59">
        <v>1.696</v>
      </c>
      <c r="E37" s="59">
        <v>9.8119999999999994</v>
      </c>
      <c r="F37" s="59">
        <v>0.32800000000000001</v>
      </c>
      <c r="G37" s="59">
        <f t="shared" si="0"/>
        <v>0.19878787878787882</v>
      </c>
      <c r="H37" s="59">
        <v>12.254</v>
      </c>
      <c r="I37" s="59">
        <v>9.9459999999999997</v>
      </c>
      <c r="J37" s="59">
        <v>1.976</v>
      </c>
      <c r="K37" s="59">
        <v>0.47</v>
      </c>
      <c r="L37" s="59">
        <v>0.26900000000000002</v>
      </c>
      <c r="M37" s="59">
        <v>0</v>
      </c>
      <c r="N37" s="59">
        <v>11.337999999999999</v>
      </c>
      <c r="O37" s="59">
        <v>11.33</v>
      </c>
      <c r="P37" s="60">
        <v>0.2833</v>
      </c>
      <c r="Q37" s="61">
        <v>0.85950413223140498</v>
      </c>
      <c r="R37" s="51">
        <f t="shared" si="1"/>
        <v>1218.4615933884297</v>
      </c>
    </row>
    <row r="38" spans="1:18" ht="14" x14ac:dyDescent="0.15">
      <c r="A38" s="59">
        <v>48.241</v>
      </c>
      <c r="B38" s="59">
        <v>2.41</v>
      </c>
      <c r="C38" s="59">
        <v>11.766</v>
      </c>
      <c r="D38" s="59">
        <v>1.7310000000000001</v>
      </c>
      <c r="E38" s="59">
        <v>9.7769999999999992</v>
      </c>
      <c r="F38" s="59">
        <v>0.30199999999999999</v>
      </c>
      <c r="G38" s="59">
        <f t="shared" si="0"/>
        <v>0.18303030303030304</v>
      </c>
      <c r="H38" s="59">
        <v>11.981999999999999</v>
      </c>
      <c r="I38" s="59">
        <v>10.694000000000001</v>
      </c>
      <c r="J38" s="59">
        <v>1.923</v>
      </c>
      <c r="K38" s="59">
        <v>0.49</v>
      </c>
      <c r="L38" s="59">
        <v>0.215</v>
      </c>
      <c r="M38" s="59">
        <v>0</v>
      </c>
      <c r="N38" s="59">
        <v>11.335000000000001</v>
      </c>
      <c r="O38" s="59">
        <v>11.33</v>
      </c>
      <c r="P38" s="60">
        <v>0.26190000000000002</v>
      </c>
      <c r="Q38" s="61">
        <v>0.93786578228638329</v>
      </c>
      <c r="R38" s="51">
        <f t="shared" si="1"/>
        <v>1229.1177500975423</v>
      </c>
    </row>
    <row r="39" spans="1:18" ht="14" x14ac:dyDescent="0.15">
      <c r="A39" s="59">
        <v>48.655999999999999</v>
      </c>
      <c r="B39" s="59">
        <v>2.1640000000000001</v>
      </c>
      <c r="C39" s="59">
        <v>11.57</v>
      </c>
      <c r="D39" s="59">
        <v>1.756</v>
      </c>
      <c r="E39" s="59">
        <v>9.7590000000000003</v>
      </c>
      <c r="F39" s="59">
        <v>0.38400000000000001</v>
      </c>
      <c r="G39" s="59">
        <f t="shared" si="0"/>
        <v>0.23272727272727275</v>
      </c>
      <c r="H39" s="59">
        <v>10.954000000000001</v>
      </c>
      <c r="I39" s="59">
        <v>11.948</v>
      </c>
      <c r="J39" s="59">
        <v>1.601</v>
      </c>
      <c r="K39" s="59">
        <v>0.45200000000000001</v>
      </c>
      <c r="L39" s="59">
        <v>0.251</v>
      </c>
      <c r="M39" s="59">
        <v>0</v>
      </c>
      <c r="N39" s="59">
        <v>11.34</v>
      </c>
      <c r="O39" s="59">
        <v>11.33</v>
      </c>
      <c r="P39" s="60">
        <v>0.25219999999999998</v>
      </c>
      <c r="Q39" s="61">
        <v>1.0091396155058303</v>
      </c>
      <c r="R39" s="51">
        <f t="shared" si="1"/>
        <v>1273.5430751969741</v>
      </c>
    </row>
    <row r="40" spans="1:18" ht="14" x14ac:dyDescent="0.15">
      <c r="A40" s="59">
        <v>47.854999999999997</v>
      </c>
      <c r="B40" s="59">
        <v>2.5329999999999999</v>
      </c>
      <c r="C40" s="59">
        <v>11.837</v>
      </c>
      <c r="D40" s="59">
        <v>1.738</v>
      </c>
      <c r="E40" s="59">
        <v>9.7720000000000002</v>
      </c>
      <c r="F40" s="59">
        <v>0.35899999999999999</v>
      </c>
      <c r="G40" s="59">
        <f t="shared" si="0"/>
        <v>0.21757575757575759</v>
      </c>
      <c r="H40" s="59">
        <v>12.081</v>
      </c>
      <c r="I40" s="59">
        <v>10.558999999999999</v>
      </c>
      <c r="J40" s="59">
        <v>2.0550000000000002</v>
      </c>
      <c r="K40" s="59">
        <v>0.46800000000000003</v>
      </c>
      <c r="L40" s="59">
        <v>0.27500000000000002</v>
      </c>
      <c r="M40" s="59">
        <v>0</v>
      </c>
      <c r="N40" s="59">
        <v>11.336</v>
      </c>
      <c r="O40" s="59">
        <v>11.33</v>
      </c>
      <c r="P40" s="60">
        <v>0.2631</v>
      </c>
      <c r="Q40" s="61">
        <v>0.93370893725294213</v>
      </c>
      <c r="R40" s="51">
        <f t="shared" si="1"/>
        <v>1229.2767422418103</v>
      </c>
    </row>
    <row r="41" spans="1:18" ht="14" x14ac:dyDescent="0.15">
      <c r="A41" s="59">
        <v>49.334000000000003</v>
      </c>
      <c r="B41" s="59">
        <v>2.1230000000000002</v>
      </c>
      <c r="C41" s="59">
        <v>11.292</v>
      </c>
      <c r="D41" s="59">
        <v>1.708</v>
      </c>
      <c r="E41" s="59">
        <v>9.798</v>
      </c>
      <c r="F41" s="59">
        <v>0.378</v>
      </c>
      <c r="G41" s="59">
        <f t="shared" si="0"/>
        <v>0.2290909090909091</v>
      </c>
      <c r="H41" s="59">
        <v>12.25</v>
      </c>
      <c r="I41" s="59">
        <v>10.115</v>
      </c>
      <c r="J41" s="59">
        <v>1.9410000000000001</v>
      </c>
      <c r="K41" s="59">
        <v>0.39700000000000002</v>
      </c>
      <c r="L41" s="59">
        <v>0.19500000000000001</v>
      </c>
      <c r="M41" s="59">
        <v>0</v>
      </c>
      <c r="N41" s="59">
        <v>11.334</v>
      </c>
      <c r="O41" s="59">
        <v>11.33</v>
      </c>
      <c r="P41" s="60">
        <v>0.2215</v>
      </c>
      <c r="Q41" s="61">
        <v>0.94022476264289867</v>
      </c>
      <c r="R41" s="51">
        <f t="shared" si="1"/>
        <v>1042.1319637667118</v>
      </c>
    </row>
    <row r="42" spans="1:18" ht="14" x14ac:dyDescent="0.15">
      <c r="A42" s="59">
        <v>48.726999999999997</v>
      </c>
      <c r="B42" s="59">
        <v>2.4460000000000002</v>
      </c>
      <c r="C42" s="59">
        <v>11.728999999999999</v>
      </c>
      <c r="D42" s="59">
        <v>1.72</v>
      </c>
      <c r="E42" s="59">
        <v>9.7859999999999996</v>
      </c>
      <c r="F42" s="59">
        <v>0.371</v>
      </c>
      <c r="G42" s="59">
        <f t="shared" si="0"/>
        <v>0.22484848484848485</v>
      </c>
      <c r="H42" s="59">
        <v>11.645</v>
      </c>
      <c r="I42" s="59">
        <v>10.33</v>
      </c>
      <c r="J42" s="59">
        <v>2.0499999999999998</v>
      </c>
      <c r="K42" s="59">
        <v>0.46600000000000003</v>
      </c>
      <c r="L42" s="59">
        <v>0.245</v>
      </c>
      <c r="M42" s="59">
        <v>0</v>
      </c>
      <c r="N42" s="59">
        <v>11.334</v>
      </c>
      <c r="O42" s="59">
        <v>11.33</v>
      </c>
      <c r="P42" s="60">
        <v>0.29570000000000002</v>
      </c>
      <c r="Q42" s="61">
        <v>0.96876329095978453</v>
      </c>
      <c r="R42" s="51">
        <f t="shared" si="1"/>
        <v>1433.4623789045886</v>
      </c>
    </row>
    <row r="43" spans="1:18" ht="14" x14ac:dyDescent="0.15">
      <c r="A43" s="59">
        <v>51.478000000000002</v>
      </c>
      <c r="B43" s="59">
        <v>2.8730000000000002</v>
      </c>
      <c r="C43" s="59">
        <v>12.349</v>
      </c>
      <c r="D43" s="59">
        <v>1.657</v>
      </c>
      <c r="E43" s="59">
        <v>9.83</v>
      </c>
      <c r="F43" s="59">
        <v>0.39</v>
      </c>
      <c r="G43" s="59">
        <f t="shared" si="0"/>
        <v>0.23636363636363639</v>
      </c>
      <c r="H43" s="59">
        <v>8.6669999999999998</v>
      </c>
      <c r="I43" s="59">
        <v>8.5909999999999993</v>
      </c>
      <c r="J43" s="59">
        <v>2.7749999999999999</v>
      </c>
      <c r="K43" s="59">
        <v>0.53900000000000003</v>
      </c>
      <c r="L43" s="59">
        <v>0.28899999999999998</v>
      </c>
      <c r="M43" s="59">
        <v>0</v>
      </c>
      <c r="N43" s="59">
        <v>11.321</v>
      </c>
      <c r="O43" s="59">
        <v>11.33</v>
      </c>
      <c r="P43" s="60">
        <v>0.3634</v>
      </c>
      <c r="Q43" s="61">
        <v>1.1227999190774833</v>
      </c>
      <c r="R43" s="51">
        <f t="shared" si="1"/>
        <v>2041.7595549261582</v>
      </c>
    </row>
    <row r="44" spans="1:18" ht="14" x14ac:dyDescent="0.15">
      <c r="A44" s="59">
        <v>49.451999999999998</v>
      </c>
      <c r="B44" s="59">
        <v>2.08</v>
      </c>
      <c r="C44" s="59">
        <v>11.412000000000001</v>
      </c>
      <c r="D44" s="59">
        <v>1.7</v>
      </c>
      <c r="E44" s="59">
        <v>9.81</v>
      </c>
      <c r="F44" s="59">
        <v>0.34200000000000003</v>
      </c>
      <c r="G44" s="59">
        <f t="shared" si="0"/>
        <v>0.2072727272727273</v>
      </c>
      <c r="H44" s="59">
        <v>12.061</v>
      </c>
      <c r="I44" s="59">
        <v>10.210000000000001</v>
      </c>
      <c r="J44" s="59">
        <v>1.901</v>
      </c>
      <c r="K44" s="59">
        <v>0.36099999999999999</v>
      </c>
      <c r="L44" s="59">
        <v>0.20599999999999999</v>
      </c>
      <c r="M44" s="59">
        <v>0</v>
      </c>
      <c r="N44" s="59">
        <v>11.34</v>
      </c>
      <c r="O44" s="59">
        <v>11.33</v>
      </c>
      <c r="P44" s="60">
        <v>0.1057</v>
      </c>
      <c r="Q44" s="61">
        <v>0.93323514972999511</v>
      </c>
      <c r="R44" s="51">
        <f t="shared" si="1"/>
        <v>493.60934845360828</v>
      </c>
    </row>
    <row r="45" spans="1:18" ht="14" x14ac:dyDescent="0.15">
      <c r="A45" s="59">
        <v>48.848999999999997</v>
      </c>
      <c r="B45" s="59">
        <v>2.1389999999999998</v>
      </c>
      <c r="C45" s="59">
        <v>11.253</v>
      </c>
      <c r="D45" s="59">
        <v>1.7090000000000001</v>
      </c>
      <c r="E45" s="59">
        <v>9.7919999999999998</v>
      </c>
      <c r="F45" s="59">
        <v>0.36399999999999999</v>
      </c>
      <c r="G45" s="59">
        <f t="shared" si="0"/>
        <v>0.22060606060606061</v>
      </c>
      <c r="H45" s="59">
        <v>12.725</v>
      </c>
      <c r="I45" s="59">
        <v>10.238</v>
      </c>
      <c r="J45" s="59">
        <v>1.8779999999999999</v>
      </c>
      <c r="K45" s="59">
        <v>0.35599999999999998</v>
      </c>
      <c r="L45" s="59">
        <v>0.23400000000000001</v>
      </c>
      <c r="M45" s="59">
        <v>0</v>
      </c>
      <c r="N45" s="59">
        <v>11.33</v>
      </c>
      <c r="O45" s="59">
        <v>11.33</v>
      </c>
      <c r="P45" s="60">
        <v>0.16420000000000001</v>
      </c>
      <c r="Q45" s="61">
        <v>0.927636453445295</v>
      </c>
      <c r="R45" s="51">
        <f t="shared" si="1"/>
        <v>762.19879990121012</v>
      </c>
    </row>
    <row r="46" spans="1:18" ht="14" x14ac:dyDescent="0.15">
      <c r="A46" s="59">
        <v>48.345999999999997</v>
      </c>
      <c r="B46" s="59">
        <v>2.3119999999999998</v>
      </c>
      <c r="C46" s="59">
        <v>11.641999999999999</v>
      </c>
      <c r="D46" s="59">
        <v>1.718</v>
      </c>
      <c r="E46" s="59">
        <v>9.7910000000000004</v>
      </c>
      <c r="F46" s="59">
        <v>0.316</v>
      </c>
      <c r="G46" s="59">
        <f t="shared" si="0"/>
        <v>0.19151515151515153</v>
      </c>
      <c r="H46" s="59">
        <v>12.42</v>
      </c>
      <c r="I46" s="59">
        <v>10.339</v>
      </c>
      <c r="J46" s="59">
        <v>1.9379999999999999</v>
      </c>
      <c r="K46" s="59">
        <v>0.45900000000000002</v>
      </c>
      <c r="L46" s="59">
        <v>0.254</v>
      </c>
      <c r="M46" s="59">
        <v>0</v>
      </c>
      <c r="N46" s="59">
        <v>11.337</v>
      </c>
      <c r="O46" s="59">
        <v>11.33</v>
      </c>
      <c r="P46" s="60">
        <v>0.27579999999999999</v>
      </c>
      <c r="Q46" s="61">
        <v>0.93119354218719974</v>
      </c>
      <c r="R46" s="51">
        <f t="shared" si="1"/>
        <v>1285.1431873918893</v>
      </c>
    </row>
    <row r="47" spans="1:18" ht="14" x14ac:dyDescent="0.15">
      <c r="A47" s="59">
        <v>48.689</v>
      </c>
      <c r="B47" s="59">
        <v>2.33</v>
      </c>
      <c r="C47" s="59">
        <v>11.106</v>
      </c>
      <c r="D47" s="59">
        <v>1.706</v>
      </c>
      <c r="E47" s="59">
        <v>9.8019999999999996</v>
      </c>
      <c r="F47" s="59">
        <v>0.34</v>
      </c>
      <c r="G47" s="59">
        <f t="shared" si="0"/>
        <v>0.20606060606060608</v>
      </c>
      <c r="H47" s="59">
        <v>13.03</v>
      </c>
      <c r="I47" s="59">
        <v>9.9120000000000008</v>
      </c>
      <c r="J47" s="59">
        <v>1.8540000000000001</v>
      </c>
      <c r="K47" s="59">
        <v>0.46600000000000003</v>
      </c>
      <c r="L47" s="59">
        <v>0.30599999999999999</v>
      </c>
      <c r="M47" s="59">
        <v>0</v>
      </c>
      <c r="N47" s="59">
        <v>11.337</v>
      </c>
      <c r="O47" s="59">
        <v>11.33</v>
      </c>
      <c r="P47" s="60">
        <v>0.28260000000000002</v>
      </c>
      <c r="Q47" s="61">
        <v>0.91596265006669642</v>
      </c>
      <c r="R47" s="51">
        <f t="shared" si="1"/>
        <v>1295.2906287238775</v>
      </c>
    </row>
    <row r="48" spans="1:18" ht="14" x14ac:dyDescent="0.15">
      <c r="A48" s="59">
        <v>48.395000000000003</v>
      </c>
      <c r="B48" s="59">
        <v>2.323</v>
      </c>
      <c r="C48" s="59">
        <v>11.97</v>
      </c>
      <c r="D48" s="59">
        <v>1.742</v>
      </c>
      <c r="E48" s="59">
        <v>9.7639999999999993</v>
      </c>
      <c r="F48" s="59">
        <v>0.40799999999999997</v>
      </c>
      <c r="G48" s="59">
        <f t="shared" si="0"/>
        <v>0.24727272727272728</v>
      </c>
      <c r="H48" s="59">
        <v>11.448</v>
      </c>
      <c r="I48" s="59">
        <v>10.571</v>
      </c>
      <c r="J48" s="59">
        <v>2.2709999999999999</v>
      </c>
      <c r="K48" s="59">
        <v>0.34499999999999997</v>
      </c>
      <c r="L48" s="59">
        <v>0.26900000000000002</v>
      </c>
      <c r="M48" s="59">
        <v>0</v>
      </c>
      <c r="N48" s="59">
        <v>11.332000000000001</v>
      </c>
      <c r="O48" s="59">
        <v>11.33</v>
      </c>
      <c r="P48" s="60">
        <v>0.37280000000000002</v>
      </c>
      <c r="Q48" s="61">
        <v>0.98631921824104218</v>
      </c>
      <c r="R48" s="51">
        <f t="shared" si="1"/>
        <v>1839.9698220195439</v>
      </c>
    </row>
    <row r="49" spans="1:18" ht="14" x14ac:dyDescent="0.15">
      <c r="A49" s="59">
        <v>48.777000000000001</v>
      </c>
      <c r="B49" s="59">
        <v>2.3690000000000002</v>
      </c>
      <c r="C49" s="59">
        <v>11.289</v>
      </c>
      <c r="D49" s="59">
        <v>1.716</v>
      </c>
      <c r="E49" s="59">
        <v>9.7940000000000005</v>
      </c>
      <c r="F49" s="59">
        <v>0.39200000000000002</v>
      </c>
      <c r="G49" s="59">
        <f t="shared" si="0"/>
        <v>0.23757575757575761</v>
      </c>
      <c r="H49" s="59">
        <v>12.503</v>
      </c>
      <c r="I49" s="59">
        <v>9.9949999999999992</v>
      </c>
      <c r="J49" s="59">
        <v>2</v>
      </c>
      <c r="K49" s="59">
        <v>0.44400000000000001</v>
      </c>
      <c r="L49" s="59">
        <v>0.23599999999999999</v>
      </c>
      <c r="M49" s="59">
        <v>0</v>
      </c>
      <c r="N49" s="59">
        <v>11.337999999999999</v>
      </c>
      <c r="O49" s="59">
        <v>11.33</v>
      </c>
      <c r="P49" s="60">
        <v>6.9199999999999998E-2</v>
      </c>
      <c r="Q49" s="61">
        <v>0.97106234220236931</v>
      </c>
      <c r="R49" s="51">
        <f t="shared" si="1"/>
        <v>336.25636045834136</v>
      </c>
    </row>
    <row r="50" spans="1:18" ht="14" x14ac:dyDescent="0.15">
      <c r="A50" s="59">
        <v>48.466999999999999</v>
      </c>
      <c r="B50" s="59">
        <v>2.6629999999999998</v>
      </c>
      <c r="C50" s="59">
        <v>12.318</v>
      </c>
      <c r="D50" s="59">
        <v>1.7370000000000001</v>
      </c>
      <c r="E50" s="59">
        <v>9.7739999999999991</v>
      </c>
      <c r="F50" s="59">
        <v>0.40899999999999997</v>
      </c>
      <c r="G50" s="59">
        <f t="shared" si="0"/>
        <v>0.24787878787878787</v>
      </c>
      <c r="H50" s="59">
        <v>10.198</v>
      </c>
      <c r="I50" s="59">
        <v>11.087999999999999</v>
      </c>
      <c r="J50" s="59">
        <v>2.0859999999999999</v>
      </c>
      <c r="K50" s="59">
        <v>0.49</v>
      </c>
      <c r="L50" s="59">
        <v>0.25</v>
      </c>
      <c r="M50" s="59">
        <v>0</v>
      </c>
      <c r="N50" s="59">
        <v>11.337</v>
      </c>
      <c r="O50" s="59">
        <v>11.33</v>
      </c>
      <c r="P50" s="60">
        <v>0.26240000000000002</v>
      </c>
      <c r="Q50" s="61">
        <v>1.0385860094597956</v>
      </c>
      <c r="R50" s="51">
        <f t="shared" si="1"/>
        <v>1363.714944286781</v>
      </c>
    </row>
    <row r="51" spans="1:18" ht="14" x14ac:dyDescent="0.15">
      <c r="A51" s="59">
        <v>48.561999999999998</v>
      </c>
      <c r="B51" s="59">
        <v>2.5990000000000002</v>
      </c>
      <c r="C51" s="59">
        <v>12.24</v>
      </c>
      <c r="D51" s="59">
        <v>1.734</v>
      </c>
      <c r="E51" s="59">
        <v>9.7750000000000004</v>
      </c>
      <c r="F51" s="59">
        <v>0.39300000000000002</v>
      </c>
      <c r="G51" s="59">
        <f t="shared" si="0"/>
        <v>0.23818181818181822</v>
      </c>
      <c r="H51" s="59">
        <v>10.246</v>
      </c>
      <c r="I51" s="59">
        <v>11.077</v>
      </c>
      <c r="J51" s="59">
        <v>2.0720000000000001</v>
      </c>
      <c r="K51" s="59">
        <v>0.45600000000000002</v>
      </c>
      <c r="L51" s="59">
        <v>0.32600000000000001</v>
      </c>
      <c r="M51" s="59">
        <v>0</v>
      </c>
      <c r="N51" s="59">
        <v>11.336</v>
      </c>
      <c r="O51" s="59">
        <v>11.33</v>
      </c>
      <c r="P51" s="60">
        <v>0.26479999999999998</v>
      </c>
      <c r="Q51" s="61">
        <v>1.0384923817161187</v>
      </c>
      <c r="R51" s="51">
        <f t="shared" si="1"/>
        <v>1376.0638845228548</v>
      </c>
    </row>
    <row r="52" spans="1:18" ht="14" x14ac:dyDescent="0.15">
      <c r="A52" s="59">
        <v>49.737000000000002</v>
      </c>
      <c r="B52" s="59">
        <v>2.4529999999999998</v>
      </c>
      <c r="C52" s="59">
        <v>13.096</v>
      </c>
      <c r="D52" s="59">
        <v>1.71</v>
      </c>
      <c r="E52" s="59">
        <v>9.8040000000000003</v>
      </c>
      <c r="F52" s="59">
        <v>0.44700000000000001</v>
      </c>
      <c r="G52" s="59">
        <f t="shared" si="0"/>
        <v>0.27090909090909093</v>
      </c>
      <c r="H52" s="59">
        <v>8.2769999999999992</v>
      </c>
      <c r="I52" s="59">
        <v>10.92</v>
      </c>
      <c r="J52" s="59">
        <v>2.3889999999999998</v>
      </c>
      <c r="K52" s="59">
        <v>0.436</v>
      </c>
      <c r="L52" s="59">
        <v>0.214</v>
      </c>
      <c r="M52" s="59">
        <v>0</v>
      </c>
      <c r="N52" s="59">
        <v>11.343</v>
      </c>
      <c r="O52" s="59">
        <v>11.33</v>
      </c>
      <c r="P52" s="60">
        <v>0.2611</v>
      </c>
      <c r="Q52" s="61">
        <v>1.0330364092363571</v>
      </c>
      <c r="R52" s="51">
        <f t="shared" si="1"/>
        <v>1349.7079354838706</v>
      </c>
    </row>
    <row r="53" spans="1:18" ht="14" x14ac:dyDescent="0.15">
      <c r="A53" s="59">
        <v>48.981000000000002</v>
      </c>
      <c r="B53" s="59">
        <v>2</v>
      </c>
      <c r="C53" s="59">
        <v>11.359</v>
      </c>
      <c r="D53" s="59">
        <v>1.673</v>
      </c>
      <c r="E53" s="59">
        <v>9.8279999999999994</v>
      </c>
      <c r="F53" s="59">
        <v>0.33700000000000002</v>
      </c>
      <c r="G53" s="59">
        <f t="shared" si="0"/>
        <v>0.20424242424242425</v>
      </c>
      <c r="H53" s="59">
        <v>12.731999999999999</v>
      </c>
      <c r="I53" s="59">
        <v>10.638</v>
      </c>
      <c r="J53" s="59">
        <v>1.472</v>
      </c>
      <c r="K53" s="59">
        <v>0.30199999999999999</v>
      </c>
      <c r="L53" s="59">
        <v>0.22900000000000001</v>
      </c>
      <c r="M53" s="59">
        <v>0</v>
      </c>
      <c r="N53" s="59">
        <v>11.334</v>
      </c>
      <c r="O53" s="59">
        <v>11.33</v>
      </c>
      <c r="P53" s="60">
        <v>0.253</v>
      </c>
      <c r="Q53" s="61">
        <v>0.89526821554555402</v>
      </c>
      <c r="R53" s="51">
        <f t="shared" si="1"/>
        <v>1133.4203040992579</v>
      </c>
    </row>
    <row r="54" spans="1:18" ht="14" x14ac:dyDescent="0.15">
      <c r="A54" s="59">
        <v>48.445</v>
      </c>
      <c r="B54" s="59">
        <v>2.367</v>
      </c>
      <c r="C54" s="59">
        <v>11.228999999999999</v>
      </c>
      <c r="D54" s="59">
        <v>1.7030000000000001</v>
      </c>
      <c r="E54" s="59">
        <v>9.8000000000000007</v>
      </c>
      <c r="F54" s="59">
        <v>0.35</v>
      </c>
      <c r="G54" s="59">
        <f t="shared" si="0"/>
        <v>0.21212121212121213</v>
      </c>
      <c r="H54" s="59">
        <v>13.077999999999999</v>
      </c>
      <c r="I54" s="59">
        <v>10.041</v>
      </c>
      <c r="J54" s="59">
        <v>1.8149999999999999</v>
      </c>
      <c r="K54" s="59">
        <v>0.44500000000000001</v>
      </c>
      <c r="L54" s="59">
        <v>0.26800000000000002</v>
      </c>
      <c r="M54" s="59">
        <v>0</v>
      </c>
      <c r="N54" s="59">
        <v>11.332000000000001</v>
      </c>
      <c r="O54" s="59">
        <v>11.33</v>
      </c>
      <c r="P54" s="60">
        <v>0.35339999999999999</v>
      </c>
      <c r="Q54" s="61">
        <v>0.91782553729456384</v>
      </c>
      <c r="R54" s="51">
        <f t="shared" si="1"/>
        <v>1623.0951625790137</v>
      </c>
    </row>
    <row r="55" spans="1:18" ht="14" x14ac:dyDescent="0.15">
      <c r="A55" s="59">
        <v>48.719000000000001</v>
      </c>
      <c r="B55" s="59">
        <v>2.2469999999999999</v>
      </c>
      <c r="C55" s="59">
        <v>11.206</v>
      </c>
      <c r="D55" s="59">
        <v>1.6910000000000001</v>
      </c>
      <c r="E55" s="59">
        <v>9.8119999999999994</v>
      </c>
      <c r="F55" s="59">
        <v>0.34499999999999997</v>
      </c>
      <c r="G55" s="59">
        <f t="shared" si="0"/>
        <v>0.20909090909090908</v>
      </c>
      <c r="H55" s="59">
        <v>13.186999999999999</v>
      </c>
      <c r="I55" s="59">
        <v>9.9239999999999995</v>
      </c>
      <c r="J55" s="59">
        <v>1.8009999999999999</v>
      </c>
      <c r="K55" s="59">
        <v>0.38400000000000001</v>
      </c>
      <c r="L55" s="59">
        <v>0.23200000000000001</v>
      </c>
      <c r="M55" s="59">
        <v>0</v>
      </c>
      <c r="N55" s="59">
        <v>11.334</v>
      </c>
      <c r="O55" s="59">
        <v>11.33</v>
      </c>
      <c r="P55" s="60">
        <v>0.29670000000000002</v>
      </c>
      <c r="Q55" s="61">
        <v>0.90348148891341418</v>
      </c>
      <c r="R55" s="51">
        <f t="shared" si="1"/>
        <v>1341.3870406340925</v>
      </c>
    </row>
    <row r="56" spans="1:18" ht="14" x14ac:dyDescent="0.15">
      <c r="A56" s="59">
        <v>48.360999999999997</v>
      </c>
      <c r="B56" s="59">
        <v>2.4359999999999999</v>
      </c>
      <c r="C56" s="59">
        <v>11.468999999999999</v>
      </c>
      <c r="D56" s="59">
        <v>1.635</v>
      </c>
      <c r="E56" s="59">
        <v>9.8640000000000008</v>
      </c>
      <c r="F56" s="59">
        <v>0.39300000000000002</v>
      </c>
      <c r="G56" s="59">
        <f t="shared" si="0"/>
        <v>0.23818181818181822</v>
      </c>
      <c r="H56" s="59">
        <v>13.336</v>
      </c>
      <c r="I56" s="59">
        <v>10.103999999999999</v>
      </c>
      <c r="J56" s="59">
        <v>1.256</v>
      </c>
      <c r="K56" s="59">
        <v>0.48299999999999998</v>
      </c>
      <c r="L56" s="59">
        <v>0.222</v>
      </c>
      <c r="M56" s="59">
        <v>0</v>
      </c>
      <c r="N56" s="59">
        <v>11.335000000000001</v>
      </c>
      <c r="O56" s="59">
        <v>11.33</v>
      </c>
      <c r="P56" s="60">
        <v>0.2147</v>
      </c>
      <c r="Q56" s="61">
        <v>0.88060015424525007</v>
      </c>
      <c r="R56" s="51">
        <f t="shared" si="1"/>
        <v>946.08052499474172</v>
      </c>
    </row>
    <row r="57" spans="1:18" ht="14" x14ac:dyDescent="0.15">
      <c r="A57" s="59">
        <v>48.530999999999999</v>
      </c>
      <c r="B57" s="59">
        <v>2.3260000000000001</v>
      </c>
      <c r="C57" s="59">
        <v>11.435</v>
      </c>
      <c r="D57" s="59">
        <v>1.6910000000000001</v>
      </c>
      <c r="E57" s="59">
        <v>9.8130000000000006</v>
      </c>
      <c r="F57" s="59">
        <v>0.371</v>
      </c>
      <c r="G57" s="59">
        <f t="shared" si="0"/>
        <v>0.22484848484848485</v>
      </c>
      <c r="H57" s="59">
        <v>12.847</v>
      </c>
      <c r="I57" s="59">
        <v>10.077</v>
      </c>
      <c r="J57" s="59">
        <v>1.7569999999999999</v>
      </c>
      <c r="K57" s="59">
        <v>0.46700000000000003</v>
      </c>
      <c r="L57" s="59">
        <v>0.22900000000000001</v>
      </c>
      <c r="M57" s="59">
        <v>0</v>
      </c>
      <c r="N57" s="59">
        <v>11.334</v>
      </c>
      <c r="O57" s="59">
        <v>11.33</v>
      </c>
      <c r="P57" s="60">
        <v>0.30709999999999998</v>
      </c>
      <c r="Q57" s="61">
        <v>0.91372406261376038</v>
      </c>
      <c r="R57" s="51">
        <f t="shared" si="1"/>
        <v>1404.1457167819437</v>
      </c>
    </row>
    <row r="58" spans="1:18" ht="14" x14ac:dyDescent="0.15">
      <c r="A58" s="59">
        <v>48.77</v>
      </c>
      <c r="B58" s="59">
        <v>2.258</v>
      </c>
      <c r="C58" s="59">
        <v>11.435</v>
      </c>
      <c r="D58" s="59">
        <v>1.6990000000000001</v>
      </c>
      <c r="E58" s="59">
        <v>9.8079999999999998</v>
      </c>
      <c r="F58" s="59">
        <v>0.34100000000000003</v>
      </c>
      <c r="G58" s="59">
        <f t="shared" si="0"/>
        <v>0.20666666666666669</v>
      </c>
      <c r="H58" s="59">
        <v>12.897</v>
      </c>
      <c r="I58" s="59">
        <v>9.82</v>
      </c>
      <c r="J58" s="59">
        <v>1.996</v>
      </c>
      <c r="K58" s="59">
        <v>0.37</v>
      </c>
      <c r="L58" s="59">
        <v>0.17</v>
      </c>
      <c r="M58" s="59">
        <v>0</v>
      </c>
      <c r="N58" s="59">
        <v>11.337</v>
      </c>
      <c r="O58" s="59">
        <v>11.33</v>
      </c>
      <c r="P58" s="60">
        <v>0.2964</v>
      </c>
      <c r="Q58" s="61">
        <v>0.87214891199860167</v>
      </c>
      <c r="R58" s="51">
        <f t="shared" si="1"/>
        <v>1293.5587073319932</v>
      </c>
    </row>
    <row r="59" spans="1:18" ht="14" x14ac:dyDescent="0.15">
      <c r="A59" s="59">
        <v>48.283999999999999</v>
      </c>
      <c r="B59" s="59">
        <v>2.387</v>
      </c>
      <c r="C59" s="59">
        <v>11.449</v>
      </c>
      <c r="D59" s="59">
        <v>1.681</v>
      </c>
      <c r="E59" s="59">
        <v>9.8230000000000004</v>
      </c>
      <c r="F59" s="59">
        <v>0.35699999999999998</v>
      </c>
      <c r="G59" s="59">
        <f t="shared" si="0"/>
        <v>0.21636363636363637</v>
      </c>
      <c r="H59" s="59">
        <v>13.199</v>
      </c>
      <c r="I59" s="59">
        <v>9.8000000000000007</v>
      </c>
      <c r="J59" s="59">
        <v>1.806</v>
      </c>
      <c r="K59" s="59">
        <v>0.42399999999999999</v>
      </c>
      <c r="L59" s="59">
        <v>0.35099999999999998</v>
      </c>
      <c r="M59" s="59">
        <v>0</v>
      </c>
      <c r="N59" s="59">
        <v>11.335000000000001</v>
      </c>
      <c r="O59" s="59">
        <v>11.33</v>
      </c>
      <c r="P59" s="60">
        <v>0.26569999999999999</v>
      </c>
      <c r="Q59" s="61">
        <v>0.87878935331614039</v>
      </c>
      <c r="R59" s="51">
        <f t="shared" si="1"/>
        <v>1168.4056332051969</v>
      </c>
    </row>
    <row r="60" spans="1:18" ht="14" x14ac:dyDescent="0.15">
      <c r="A60" s="59">
        <v>48.856999999999999</v>
      </c>
      <c r="B60" s="59">
        <v>2.4430000000000001</v>
      </c>
      <c r="C60" s="59">
        <v>11.914999999999999</v>
      </c>
      <c r="D60" s="59">
        <v>1.7010000000000001</v>
      </c>
      <c r="E60" s="59">
        <v>9.8000000000000007</v>
      </c>
      <c r="F60" s="59">
        <v>0.36899999999999999</v>
      </c>
      <c r="G60" s="59">
        <f t="shared" si="0"/>
        <v>0.22363636363636363</v>
      </c>
      <c r="H60" s="59">
        <v>11.326000000000001</v>
      </c>
      <c r="I60" s="59">
        <v>10.506</v>
      </c>
      <c r="J60" s="59">
        <v>1.9</v>
      </c>
      <c r="K60" s="59">
        <v>0.47</v>
      </c>
      <c r="L60" s="59">
        <v>0.23</v>
      </c>
      <c r="M60" s="59">
        <v>0</v>
      </c>
      <c r="N60" s="59">
        <v>11.331</v>
      </c>
      <c r="O60" s="59">
        <v>11.33</v>
      </c>
      <c r="P60" s="60">
        <v>0.32919999999999999</v>
      </c>
      <c r="Q60" s="61">
        <v>0.9671672181216594</v>
      </c>
      <c r="R60" s="51">
        <f t="shared" si="1"/>
        <v>1593.2308068210741</v>
      </c>
    </row>
    <row r="61" spans="1:18" ht="14" x14ac:dyDescent="0.15">
      <c r="A61" s="59">
        <v>52.383000000000003</v>
      </c>
      <c r="B61" s="59">
        <v>2.83</v>
      </c>
      <c r="C61" s="59">
        <v>12.837</v>
      </c>
      <c r="D61" s="59">
        <v>1.6339999999999999</v>
      </c>
      <c r="E61" s="59">
        <v>9.8559999999999999</v>
      </c>
      <c r="F61" s="59">
        <v>0.438</v>
      </c>
      <c r="G61" s="59">
        <f t="shared" si="0"/>
        <v>0.26545454545454544</v>
      </c>
      <c r="H61" s="59">
        <v>6.8760000000000003</v>
      </c>
      <c r="I61" s="59">
        <v>9.0150000000000006</v>
      </c>
      <c r="J61" s="59">
        <v>2.7749999999999999</v>
      </c>
      <c r="K61" s="59">
        <v>0.501</v>
      </c>
      <c r="L61" s="59">
        <v>0.27500000000000002</v>
      </c>
      <c r="M61" s="59">
        <v>0</v>
      </c>
      <c r="N61" s="59">
        <v>11.327</v>
      </c>
      <c r="O61" s="59">
        <v>11.33</v>
      </c>
      <c r="P61" s="60">
        <v>0.1429</v>
      </c>
      <c r="Q61" s="61">
        <v>1.1593415775401068</v>
      </c>
      <c r="R61" s="51">
        <f t="shared" si="1"/>
        <v>829.01223679812824</v>
      </c>
    </row>
    <row r="62" spans="1:18" ht="14" x14ac:dyDescent="0.15">
      <c r="A62" s="59">
        <v>48.982999999999997</v>
      </c>
      <c r="B62" s="59">
        <v>2.488</v>
      </c>
      <c r="C62" s="59">
        <v>11.262</v>
      </c>
      <c r="D62" s="59">
        <v>1.7010000000000001</v>
      </c>
      <c r="E62" s="59">
        <v>9.8030000000000008</v>
      </c>
      <c r="F62" s="59">
        <v>0.34899999999999998</v>
      </c>
      <c r="G62" s="59">
        <f t="shared" si="0"/>
        <v>0.21151515151515152</v>
      </c>
      <c r="H62" s="59">
        <v>12.284000000000001</v>
      </c>
      <c r="I62" s="59">
        <v>10.141</v>
      </c>
      <c r="J62" s="59">
        <v>1.8320000000000001</v>
      </c>
      <c r="K62" s="59">
        <v>0.44900000000000001</v>
      </c>
      <c r="L62" s="59">
        <v>0.23699999999999999</v>
      </c>
      <c r="M62" s="59">
        <v>0</v>
      </c>
      <c r="N62" s="59">
        <v>11.334</v>
      </c>
      <c r="O62" s="59">
        <v>11.33</v>
      </c>
      <c r="P62" s="60">
        <v>0.32050000000000001</v>
      </c>
      <c r="Q62" s="61">
        <v>0.94442726054232395</v>
      </c>
      <c r="R62" s="51">
        <f t="shared" si="1"/>
        <v>1514.6554407670894</v>
      </c>
    </row>
    <row r="63" spans="1:18" ht="14" x14ac:dyDescent="0.15">
      <c r="A63" s="59">
        <v>49.353000000000002</v>
      </c>
      <c r="B63" s="59">
        <v>2.3940000000000001</v>
      </c>
      <c r="C63" s="59">
        <v>11.285</v>
      </c>
      <c r="D63" s="59">
        <v>1.708</v>
      </c>
      <c r="E63" s="59">
        <v>9.8019999999999996</v>
      </c>
      <c r="F63" s="59">
        <v>0.29699999999999999</v>
      </c>
      <c r="G63" s="59">
        <f t="shared" si="0"/>
        <v>0.18</v>
      </c>
      <c r="H63" s="59">
        <v>12.079000000000001</v>
      </c>
      <c r="I63" s="59">
        <v>9.8279999999999994</v>
      </c>
      <c r="J63" s="59">
        <v>2.0169999999999999</v>
      </c>
      <c r="K63" s="59">
        <v>0.49099999999999999</v>
      </c>
      <c r="L63" s="59">
        <v>0.26500000000000001</v>
      </c>
      <c r="M63" s="59">
        <v>0</v>
      </c>
      <c r="N63" s="59">
        <v>11.339</v>
      </c>
      <c r="O63" s="59">
        <v>11.33</v>
      </c>
      <c r="P63" s="60">
        <v>0.2288</v>
      </c>
      <c r="Q63" s="61">
        <v>0.96061342096489977</v>
      </c>
      <c r="R63" s="51">
        <f t="shared" si="1"/>
        <v>1099.8209069867123</v>
      </c>
    </row>
    <row r="64" spans="1:18" ht="14" x14ac:dyDescent="0.15">
      <c r="A64" s="59">
        <v>49.031999999999996</v>
      </c>
      <c r="B64" s="59">
        <v>2.4159999999999999</v>
      </c>
      <c r="C64" s="59">
        <v>11.471</v>
      </c>
      <c r="D64" s="59">
        <v>1.6870000000000001</v>
      </c>
      <c r="E64" s="59">
        <v>9.8170000000000002</v>
      </c>
      <c r="F64" s="59">
        <v>0.29499999999999998</v>
      </c>
      <c r="G64" s="59">
        <f t="shared" si="0"/>
        <v>0.1787878787878788</v>
      </c>
      <c r="H64" s="59">
        <v>12.385</v>
      </c>
      <c r="I64" s="59">
        <v>9.9390000000000001</v>
      </c>
      <c r="J64" s="59">
        <v>1.839</v>
      </c>
      <c r="K64" s="59">
        <v>0.46400000000000002</v>
      </c>
      <c r="L64" s="59">
        <v>0.218</v>
      </c>
      <c r="M64" s="59">
        <v>0</v>
      </c>
      <c r="N64" s="59">
        <v>11.335000000000001</v>
      </c>
      <c r="O64" s="59">
        <v>11.33</v>
      </c>
      <c r="P64" s="60">
        <v>0.31</v>
      </c>
      <c r="Q64" s="61">
        <v>0.87255646232681716</v>
      </c>
      <c r="R64" s="51">
        <f t="shared" si="1"/>
        <v>1353.5444866198518</v>
      </c>
    </row>
    <row r="65" spans="1:18" ht="14" x14ac:dyDescent="0.15">
      <c r="A65" s="59">
        <v>48.398000000000003</v>
      </c>
      <c r="B65" s="59">
        <v>2.3690000000000002</v>
      </c>
      <c r="C65" s="59">
        <v>11.509</v>
      </c>
      <c r="D65" s="59">
        <v>1.718</v>
      </c>
      <c r="E65" s="59">
        <v>9.7910000000000004</v>
      </c>
      <c r="F65" s="59">
        <v>0.36299999999999999</v>
      </c>
      <c r="G65" s="59">
        <f t="shared" si="0"/>
        <v>0.22</v>
      </c>
      <c r="H65" s="59">
        <v>12.362</v>
      </c>
      <c r="I65" s="59">
        <v>10.6</v>
      </c>
      <c r="J65" s="59">
        <v>1.873</v>
      </c>
      <c r="K65" s="59">
        <v>0.34100000000000003</v>
      </c>
      <c r="L65" s="59">
        <v>0.20499999999999999</v>
      </c>
      <c r="M65" s="59">
        <v>0</v>
      </c>
      <c r="N65" s="59">
        <v>11.337</v>
      </c>
      <c r="O65" s="59">
        <v>11.33</v>
      </c>
      <c r="P65" s="60">
        <v>0.26190000000000002</v>
      </c>
      <c r="Q65" s="61">
        <v>0.94438561992638526</v>
      </c>
      <c r="R65" s="51">
        <f t="shared" si="1"/>
        <v>1237.6623076690364</v>
      </c>
    </row>
    <row r="66" spans="1:18" ht="14" x14ac:dyDescent="0.15">
      <c r="A66" s="59">
        <v>49.009</v>
      </c>
      <c r="B66" s="59">
        <v>2.1859999999999999</v>
      </c>
      <c r="C66" s="59">
        <v>10.978</v>
      </c>
      <c r="D66" s="59">
        <v>1.74</v>
      </c>
      <c r="E66" s="59">
        <v>9.7739999999999991</v>
      </c>
      <c r="F66" s="59">
        <v>0.32200000000000001</v>
      </c>
      <c r="G66" s="59">
        <f t="shared" si="0"/>
        <v>0.19515151515151516</v>
      </c>
      <c r="H66" s="59">
        <v>12.256</v>
      </c>
      <c r="I66" s="59">
        <v>11.069000000000001</v>
      </c>
      <c r="J66" s="59">
        <v>1.6839999999999999</v>
      </c>
      <c r="K66" s="59">
        <v>0.36199999999999999</v>
      </c>
      <c r="L66" s="59">
        <v>0.14699999999999999</v>
      </c>
      <c r="M66" s="59">
        <v>0</v>
      </c>
      <c r="N66" s="59">
        <v>11.339</v>
      </c>
      <c r="O66" s="59">
        <v>11.33</v>
      </c>
      <c r="P66" s="60">
        <v>0.38040000000000002</v>
      </c>
      <c r="Q66" s="61">
        <v>0.95076784101174339</v>
      </c>
      <c r="R66" s="51">
        <f t="shared" si="1"/>
        <v>1809.8071219512194</v>
      </c>
    </row>
    <row r="67" spans="1:18" ht="14" x14ac:dyDescent="0.15">
      <c r="A67" s="59">
        <v>49.609000000000002</v>
      </c>
      <c r="B67" s="59">
        <v>2.7120000000000002</v>
      </c>
      <c r="C67" s="59">
        <v>12.778</v>
      </c>
      <c r="D67" s="59">
        <v>1.6870000000000001</v>
      </c>
      <c r="E67" s="59">
        <v>9.8040000000000003</v>
      </c>
      <c r="F67" s="59">
        <v>0.42099999999999999</v>
      </c>
      <c r="G67" s="59">
        <f t="shared" ref="G67:G125" si="2">F67/1.65</f>
        <v>0.25515151515151513</v>
      </c>
      <c r="H67" s="59">
        <v>9.0220000000000002</v>
      </c>
      <c r="I67" s="59">
        <v>10.153</v>
      </c>
      <c r="J67" s="59">
        <v>2.4060000000000001</v>
      </c>
      <c r="K67" s="59">
        <v>0.48299999999999998</v>
      </c>
      <c r="L67" s="59">
        <v>0.36399999999999999</v>
      </c>
      <c r="M67" s="59">
        <v>0</v>
      </c>
      <c r="N67" s="59">
        <v>11.321999999999999</v>
      </c>
      <c r="O67" s="59">
        <v>11.33</v>
      </c>
      <c r="P67" s="60">
        <v>0.26350000000000001</v>
      </c>
      <c r="Q67" s="61">
        <v>1.1230395817774459</v>
      </c>
      <c r="R67" s="51">
        <f t="shared" ref="R67:R125" si="3">P67*5004*Q67</f>
        <v>1480.7883327109785</v>
      </c>
    </row>
    <row r="68" spans="1:18" ht="14" x14ac:dyDescent="0.15">
      <c r="A68" s="59">
        <v>48.85</v>
      </c>
      <c r="B68" s="59">
        <v>2.589</v>
      </c>
      <c r="C68" s="59">
        <v>11.522</v>
      </c>
      <c r="D68" s="59">
        <v>1.7370000000000001</v>
      </c>
      <c r="E68" s="59">
        <v>9.7720000000000002</v>
      </c>
      <c r="F68" s="59">
        <v>0.34599999999999997</v>
      </c>
      <c r="G68" s="59">
        <f t="shared" si="2"/>
        <v>0.20969696969696969</v>
      </c>
      <c r="H68" s="59">
        <v>11.597</v>
      </c>
      <c r="I68" s="59">
        <v>10.236000000000001</v>
      </c>
      <c r="J68" s="59">
        <v>2.1480000000000001</v>
      </c>
      <c r="K68" s="59">
        <v>0.49</v>
      </c>
      <c r="L68" s="59">
        <v>0.25800000000000001</v>
      </c>
      <c r="M68" s="59">
        <v>0</v>
      </c>
      <c r="N68" s="59">
        <v>11.335000000000001</v>
      </c>
      <c r="O68" s="59">
        <v>11.33</v>
      </c>
      <c r="P68" s="60">
        <v>0.25309999999999999</v>
      </c>
      <c r="Q68" s="61">
        <v>0.91186958736627621</v>
      </c>
      <c r="R68" s="51">
        <f t="shared" si="3"/>
        <v>1154.8941395822721</v>
      </c>
    </row>
    <row r="69" spans="1:18" ht="14" x14ac:dyDescent="0.15">
      <c r="A69" s="59">
        <v>49.24</v>
      </c>
      <c r="B69" s="59">
        <v>2.444</v>
      </c>
      <c r="C69" s="59">
        <v>11.722</v>
      </c>
      <c r="D69" s="59">
        <v>1.73</v>
      </c>
      <c r="E69" s="59">
        <v>9.7780000000000005</v>
      </c>
      <c r="F69" s="59">
        <v>0.36</v>
      </c>
      <c r="G69" s="59">
        <f t="shared" si="2"/>
        <v>0.2181818181818182</v>
      </c>
      <c r="H69" s="59">
        <v>10.913</v>
      </c>
      <c r="I69" s="59">
        <v>10.451000000000001</v>
      </c>
      <c r="J69" s="59">
        <v>2.1419999999999999</v>
      </c>
      <c r="K69" s="59">
        <v>0.45100000000000001</v>
      </c>
      <c r="L69" s="59">
        <v>0.28499999999999998</v>
      </c>
      <c r="M69" s="59">
        <v>0</v>
      </c>
      <c r="N69" s="59">
        <v>11.336</v>
      </c>
      <c r="O69" s="59">
        <v>11.33</v>
      </c>
      <c r="P69" s="60">
        <v>0.26790000000000003</v>
      </c>
      <c r="Q69" s="61">
        <v>0.96787311915412777</v>
      </c>
      <c r="R69" s="51">
        <f t="shared" si="3"/>
        <v>1297.50321594144</v>
      </c>
    </row>
    <row r="70" spans="1:18" ht="14" x14ac:dyDescent="0.15">
      <c r="A70" s="59">
        <v>48.058999999999997</v>
      </c>
      <c r="B70" s="59">
        <v>2.35</v>
      </c>
      <c r="C70" s="59">
        <v>11.67</v>
      </c>
      <c r="D70" s="59">
        <v>1.742</v>
      </c>
      <c r="E70" s="59">
        <v>9.7669999999999995</v>
      </c>
      <c r="F70" s="59">
        <v>0.34699999999999998</v>
      </c>
      <c r="G70" s="59">
        <f t="shared" si="2"/>
        <v>0.2103030303030303</v>
      </c>
      <c r="H70" s="59">
        <v>12.095000000000001</v>
      </c>
      <c r="I70" s="59">
        <v>10.9</v>
      </c>
      <c r="J70" s="59">
        <v>1.8939999999999999</v>
      </c>
      <c r="K70" s="59">
        <v>0.46100000000000002</v>
      </c>
      <c r="L70" s="59">
        <v>0.253</v>
      </c>
      <c r="M70" s="59">
        <v>0</v>
      </c>
      <c r="N70" s="59">
        <v>11.335000000000001</v>
      </c>
      <c r="O70" s="59">
        <v>11.33</v>
      </c>
      <c r="P70" s="60">
        <v>0.27889999999999998</v>
      </c>
      <c r="Q70" s="61">
        <v>0.92228282041293341</v>
      </c>
      <c r="R70" s="51">
        <f t="shared" si="3"/>
        <v>1287.1522917802881</v>
      </c>
    </row>
    <row r="71" spans="1:18" ht="14" x14ac:dyDescent="0.15">
      <c r="A71" s="59">
        <v>48.790999999999997</v>
      </c>
      <c r="B71" s="59">
        <v>2.2690000000000001</v>
      </c>
      <c r="C71" s="59">
        <v>11.698</v>
      </c>
      <c r="D71" s="59">
        <v>1.7649999999999999</v>
      </c>
      <c r="E71" s="59">
        <v>9.7439999999999998</v>
      </c>
      <c r="F71" s="59">
        <v>0.34300000000000003</v>
      </c>
      <c r="G71" s="59">
        <f t="shared" si="2"/>
        <v>0.20787878787878791</v>
      </c>
      <c r="H71" s="59">
        <v>11.002000000000001</v>
      </c>
      <c r="I71" s="59">
        <v>11.170999999999999</v>
      </c>
      <c r="J71" s="59">
        <v>2.052</v>
      </c>
      <c r="K71" s="59">
        <v>0.45400000000000001</v>
      </c>
      <c r="L71" s="59">
        <v>0.217</v>
      </c>
      <c r="M71" s="59">
        <v>0</v>
      </c>
      <c r="N71" s="59">
        <v>11.332000000000001</v>
      </c>
      <c r="O71" s="59">
        <v>11.33</v>
      </c>
      <c r="P71" s="60">
        <v>0.26150000000000001</v>
      </c>
      <c r="Q71" s="61">
        <v>0.98991750687442703</v>
      </c>
      <c r="R71" s="51">
        <f t="shared" si="3"/>
        <v>1295.3525939505041</v>
      </c>
    </row>
    <row r="72" spans="1:18" ht="14" x14ac:dyDescent="0.15">
      <c r="A72" s="59">
        <v>48.262999999999998</v>
      </c>
      <c r="B72" s="59">
        <v>2.4089999999999998</v>
      </c>
      <c r="C72" s="59">
        <v>11.627000000000001</v>
      </c>
      <c r="D72" s="59">
        <v>1.655</v>
      </c>
      <c r="E72" s="59">
        <v>9.8450000000000006</v>
      </c>
      <c r="F72" s="59">
        <v>0.41</v>
      </c>
      <c r="G72" s="59">
        <f t="shared" si="2"/>
        <v>0.24848484848484848</v>
      </c>
      <c r="H72" s="59">
        <v>12.694000000000001</v>
      </c>
      <c r="I72" s="59">
        <v>10.644</v>
      </c>
      <c r="J72" s="59">
        <v>1.383</v>
      </c>
      <c r="K72" s="59">
        <v>0.314</v>
      </c>
      <c r="L72" s="59">
        <v>0.29699999999999999</v>
      </c>
      <c r="M72" s="59">
        <v>0</v>
      </c>
      <c r="N72" s="59">
        <v>11.334</v>
      </c>
      <c r="O72" s="59">
        <v>11.33</v>
      </c>
      <c r="P72" s="60">
        <v>0.2414</v>
      </c>
      <c r="Q72" s="61">
        <v>0.91698713698448486</v>
      </c>
      <c r="R72" s="51">
        <f t="shared" si="3"/>
        <v>1107.6889171197454</v>
      </c>
    </row>
    <row r="73" spans="1:18" ht="14" x14ac:dyDescent="0.15">
      <c r="A73" s="59">
        <v>48.703000000000003</v>
      </c>
      <c r="B73" s="59">
        <v>2.306</v>
      </c>
      <c r="C73" s="59">
        <v>11.27</v>
      </c>
      <c r="D73" s="59">
        <v>1.6679999999999999</v>
      </c>
      <c r="E73" s="59">
        <v>9.8360000000000003</v>
      </c>
      <c r="F73" s="59">
        <v>0.32600000000000001</v>
      </c>
      <c r="G73" s="59">
        <f t="shared" si="2"/>
        <v>0.1975757575757576</v>
      </c>
      <c r="H73" s="59">
        <v>13.292</v>
      </c>
      <c r="I73" s="59">
        <v>9.7449999999999992</v>
      </c>
      <c r="J73" s="59">
        <v>1.6639999999999999</v>
      </c>
      <c r="K73" s="59">
        <v>0.44400000000000001</v>
      </c>
      <c r="L73" s="59">
        <v>0.31</v>
      </c>
      <c r="M73" s="59">
        <v>0</v>
      </c>
      <c r="N73" s="59">
        <v>11.337</v>
      </c>
      <c r="O73" s="59">
        <v>11.33</v>
      </c>
      <c r="P73" s="60">
        <v>0.2671</v>
      </c>
      <c r="Q73" s="61">
        <v>0.87326161112568879</v>
      </c>
      <c r="R73" s="51">
        <f t="shared" si="3"/>
        <v>1167.1738743636843</v>
      </c>
    </row>
    <row r="74" spans="1:18" ht="14" x14ac:dyDescent="0.15">
      <c r="A74" s="59">
        <v>48.139000000000003</v>
      </c>
      <c r="B74" s="59">
        <v>2.37</v>
      </c>
      <c r="C74" s="59">
        <v>11.522</v>
      </c>
      <c r="D74" s="59">
        <v>1.7150000000000001</v>
      </c>
      <c r="E74" s="59">
        <v>9.7899999999999991</v>
      </c>
      <c r="F74" s="59">
        <v>0.36099999999999999</v>
      </c>
      <c r="G74" s="59">
        <f t="shared" si="2"/>
        <v>0.21878787878787878</v>
      </c>
      <c r="H74" s="59">
        <v>12.590999999999999</v>
      </c>
      <c r="I74" s="59">
        <v>10.564</v>
      </c>
      <c r="J74" s="59">
        <v>1.821</v>
      </c>
      <c r="K74" s="59">
        <v>0.38500000000000001</v>
      </c>
      <c r="L74" s="59">
        <v>0.29499999999999998</v>
      </c>
      <c r="M74" s="59">
        <v>0</v>
      </c>
      <c r="N74" s="59">
        <v>11.333</v>
      </c>
      <c r="O74" s="59">
        <v>11.33</v>
      </c>
      <c r="P74" s="60">
        <v>0.15809999999999999</v>
      </c>
      <c r="Q74" s="61">
        <v>0.89186012342051135</v>
      </c>
      <c r="R74" s="51">
        <f t="shared" si="3"/>
        <v>705.57943990596527</v>
      </c>
    </row>
    <row r="75" spans="1:18" ht="14" x14ac:dyDescent="0.15">
      <c r="A75" s="59">
        <v>50.423000000000002</v>
      </c>
      <c r="B75" s="59">
        <v>2.6160000000000001</v>
      </c>
      <c r="C75" s="59">
        <v>12.234</v>
      </c>
      <c r="D75" s="59">
        <v>1.6779999999999999</v>
      </c>
      <c r="E75" s="59">
        <v>9.86</v>
      </c>
      <c r="F75" s="59">
        <v>0.36199999999999999</v>
      </c>
      <c r="G75" s="59">
        <f t="shared" si="2"/>
        <v>0.21939393939393939</v>
      </c>
      <c r="H75" s="59">
        <v>9.6129999999999995</v>
      </c>
      <c r="I75" s="59">
        <v>9.5850000000000009</v>
      </c>
      <c r="J75" s="59">
        <v>2.3010000000000002</v>
      </c>
      <c r="K75" s="59">
        <v>0.53800000000000003</v>
      </c>
      <c r="L75" s="59">
        <v>0.30599999999999999</v>
      </c>
      <c r="M75" s="59">
        <v>0</v>
      </c>
      <c r="N75" s="59">
        <v>11.37</v>
      </c>
      <c r="O75" s="59">
        <v>11.33</v>
      </c>
      <c r="P75" s="60">
        <v>0.31130000000000002</v>
      </c>
      <c r="Q75" s="61">
        <v>0.96567063958368315</v>
      </c>
      <c r="R75" s="51">
        <f t="shared" si="3"/>
        <v>1504.2688035924125</v>
      </c>
    </row>
    <row r="76" spans="1:18" ht="14" x14ac:dyDescent="0.15">
      <c r="A76" s="59">
        <v>48.975999999999999</v>
      </c>
      <c r="B76" s="59">
        <v>2.0430000000000001</v>
      </c>
      <c r="C76" s="59">
        <v>11.253</v>
      </c>
      <c r="D76" s="59">
        <v>1.6910000000000001</v>
      </c>
      <c r="E76" s="59">
        <v>9.8149999999999995</v>
      </c>
      <c r="F76" s="59">
        <v>0.38200000000000001</v>
      </c>
      <c r="G76" s="59">
        <f t="shared" si="2"/>
        <v>0.23151515151515153</v>
      </c>
      <c r="H76" s="59">
        <v>13.225</v>
      </c>
      <c r="I76" s="59">
        <v>9.6969999999999992</v>
      </c>
      <c r="J76" s="59">
        <v>1.94</v>
      </c>
      <c r="K76" s="59">
        <v>0.34499999999999997</v>
      </c>
      <c r="L76" s="59">
        <v>0.20499999999999999</v>
      </c>
      <c r="M76" s="59">
        <v>0</v>
      </c>
      <c r="N76" s="59">
        <v>11.337</v>
      </c>
      <c r="O76" s="59">
        <v>11.33</v>
      </c>
      <c r="P76" s="60">
        <v>0.29870000000000002</v>
      </c>
      <c r="Q76" s="61">
        <v>0.85285971776497993</v>
      </c>
      <c r="R76" s="51">
        <f t="shared" si="3"/>
        <v>1274.7649852727834</v>
      </c>
    </row>
    <row r="77" spans="1:18" ht="14" x14ac:dyDescent="0.15">
      <c r="A77" s="59">
        <v>49.005000000000003</v>
      </c>
      <c r="B77" s="59">
        <v>2.0950000000000002</v>
      </c>
      <c r="C77" s="59">
        <v>11.032</v>
      </c>
      <c r="D77" s="59">
        <v>1.6930000000000001</v>
      </c>
      <c r="E77" s="59">
        <v>9.8149999999999995</v>
      </c>
      <c r="F77" s="59">
        <v>0.33500000000000002</v>
      </c>
      <c r="G77" s="59">
        <f t="shared" si="2"/>
        <v>0.20303030303030306</v>
      </c>
      <c r="H77" s="59">
        <v>13.250999999999999</v>
      </c>
      <c r="I77" s="59">
        <v>9.9139999999999997</v>
      </c>
      <c r="J77" s="59">
        <v>1.732</v>
      </c>
      <c r="K77" s="59">
        <v>0.435</v>
      </c>
      <c r="L77" s="59">
        <v>0.25700000000000001</v>
      </c>
      <c r="M77" s="59">
        <v>0</v>
      </c>
      <c r="N77" s="59">
        <v>11.337999999999999</v>
      </c>
      <c r="O77" s="59">
        <v>11.33</v>
      </c>
      <c r="P77" s="62">
        <v>3.3000000000000002E-2</v>
      </c>
      <c r="Q77" s="61">
        <v>0.87228041901692177</v>
      </c>
      <c r="R77" s="51">
        <f t="shared" si="3"/>
        <v>144.04141015310233</v>
      </c>
    </row>
    <row r="78" spans="1:18" ht="14" x14ac:dyDescent="0.15">
      <c r="A78" s="59">
        <v>48.959000000000003</v>
      </c>
      <c r="B78" s="59">
        <v>2.4609999999999999</v>
      </c>
      <c r="C78" s="59">
        <v>12.457000000000001</v>
      </c>
      <c r="D78" s="59">
        <v>1.7330000000000001</v>
      </c>
      <c r="E78" s="59">
        <v>9.7729999999999997</v>
      </c>
      <c r="F78" s="59">
        <v>0.37</v>
      </c>
      <c r="G78" s="59">
        <f t="shared" si="2"/>
        <v>0.22424242424242424</v>
      </c>
      <c r="H78" s="59">
        <v>9.7210000000000001</v>
      </c>
      <c r="I78" s="59">
        <v>11.195</v>
      </c>
      <c r="J78" s="59">
        <v>2.0449999999999999</v>
      </c>
      <c r="K78" s="59">
        <v>0.55200000000000005</v>
      </c>
      <c r="L78" s="59">
        <v>0.23899999999999999</v>
      </c>
      <c r="M78" s="59">
        <v>0</v>
      </c>
      <c r="N78" s="59">
        <v>11.332000000000001</v>
      </c>
      <c r="O78" s="59">
        <v>11.33</v>
      </c>
      <c r="P78" s="60">
        <v>0.30890000000000001</v>
      </c>
      <c r="Q78" s="61">
        <v>0.98854352975298487</v>
      </c>
      <c r="R78" s="51">
        <f t="shared" si="3"/>
        <v>1528.0269260888479</v>
      </c>
    </row>
    <row r="79" spans="1:18" ht="14" x14ac:dyDescent="0.15">
      <c r="A79" s="59">
        <v>48.805</v>
      </c>
      <c r="B79" s="59">
        <v>2.431</v>
      </c>
      <c r="C79" s="59">
        <v>11.297000000000001</v>
      </c>
      <c r="D79" s="59">
        <v>1.6870000000000001</v>
      </c>
      <c r="E79" s="59">
        <v>9.8179999999999996</v>
      </c>
      <c r="F79" s="59">
        <v>0.38800000000000001</v>
      </c>
      <c r="G79" s="59">
        <f t="shared" si="2"/>
        <v>0.23515151515151517</v>
      </c>
      <c r="H79" s="59">
        <v>12.747</v>
      </c>
      <c r="I79" s="59">
        <v>9.8780000000000001</v>
      </c>
      <c r="J79" s="59">
        <v>1.776</v>
      </c>
      <c r="K79" s="59">
        <v>0.48899999999999999</v>
      </c>
      <c r="L79" s="59">
        <v>0.22900000000000001</v>
      </c>
      <c r="M79" s="59">
        <v>0</v>
      </c>
      <c r="N79" s="59">
        <v>11.336</v>
      </c>
      <c r="O79" s="59">
        <v>11.33</v>
      </c>
      <c r="P79" s="60">
        <v>0.32879999999999998</v>
      </c>
      <c r="Q79" s="61">
        <v>0.90927708375998362</v>
      </c>
      <c r="R79" s="51">
        <f t="shared" si="3"/>
        <v>1496.0474069219742</v>
      </c>
    </row>
    <row r="80" spans="1:18" ht="14" x14ac:dyDescent="0.15">
      <c r="A80" s="59">
        <v>48.96</v>
      </c>
      <c r="B80" s="59">
        <v>2.1240000000000001</v>
      </c>
      <c r="C80" s="59">
        <v>11.409000000000001</v>
      </c>
      <c r="D80" s="59">
        <v>1.7</v>
      </c>
      <c r="E80" s="59">
        <v>9.8049999999999997</v>
      </c>
      <c r="F80" s="59">
        <v>0.32200000000000001</v>
      </c>
      <c r="G80" s="59">
        <f t="shared" si="2"/>
        <v>0.19515151515151516</v>
      </c>
      <c r="H80" s="59">
        <v>12.641</v>
      </c>
      <c r="I80" s="59">
        <v>9.9290000000000003</v>
      </c>
      <c r="J80" s="59">
        <v>1.954</v>
      </c>
      <c r="K80" s="59">
        <v>0.40300000000000002</v>
      </c>
      <c r="L80" s="59">
        <v>0.29199999999999998</v>
      </c>
      <c r="M80" s="59">
        <v>0</v>
      </c>
      <c r="N80" s="59">
        <v>11.335000000000001</v>
      </c>
      <c r="O80" s="59">
        <v>11.33</v>
      </c>
      <c r="P80" s="60">
        <v>0.2223</v>
      </c>
      <c r="Q80" s="61">
        <v>0.92204605511513771</v>
      </c>
      <c r="R80" s="51">
        <f t="shared" si="3"/>
        <v>1025.674073612684</v>
      </c>
    </row>
    <row r="81" spans="1:18" ht="14" x14ac:dyDescent="0.15">
      <c r="A81" s="59">
        <v>48.74</v>
      </c>
      <c r="B81" s="59">
        <v>2.4119999999999999</v>
      </c>
      <c r="C81" s="59">
        <v>11.464</v>
      </c>
      <c r="D81" s="59">
        <v>1.6639999999999999</v>
      </c>
      <c r="E81" s="59">
        <v>9.84</v>
      </c>
      <c r="F81" s="59">
        <v>0.36499999999999999</v>
      </c>
      <c r="G81" s="59">
        <f t="shared" si="2"/>
        <v>0.22121212121212122</v>
      </c>
      <c r="H81" s="59">
        <v>12.948</v>
      </c>
      <c r="I81" s="59">
        <v>9.7059999999999995</v>
      </c>
      <c r="J81" s="59">
        <v>1.7070000000000001</v>
      </c>
      <c r="K81" s="59">
        <v>0.48099999999999998</v>
      </c>
      <c r="L81" s="59">
        <v>0.221</v>
      </c>
      <c r="M81" s="59">
        <v>0</v>
      </c>
      <c r="N81" s="59">
        <v>11.337999999999999</v>
      </c>
      <c r="O81" s="59">
        <v>11.33</v>
      </c>
      <c r="P81" s="60">
        <v>0.24229999999999999</v>
      </c>
      <c r="Q81" s="61">
        <v>0.90571443731097789</v>
      </c>
      <c r="R81" s="51">
        <f t="shared" si="3"/>
        <v>1098.1508592348914</v>
      </c>
    </row>
    <row r="82" spans="1:18" ht="14" x14ac:dyDescent="0.15">
      <c r="A82" s="59">
        <v>48.493000000000002</v>
      </c>
      <c r="B82" s="59">
        <v>2.2989999999999999</v>
      </c>
      <c r="C82" s="59">
        <v>11.644</v>
      </c>
      <c r="D82" s="59">
        <v>1.68</v>
      </c>
      <c r="E82" s="59">
        <v>9.8239999999999998</v>
      </c>
      <c r="F82" s="59">
        <v>0.36899999999999999</v>
      </c>
      <c r="G82" s="59">
        <f t="shared" si="2"/>
        <v>0.22363636363636363</v>
      </c>
      <c r="H82" s="59">
        <v>12.824999999999999</v>
      </c>
      <c r="I82" s="59">
        <v>9.9169999999999998</v>
      </c>
      <c r="J82" s="59">
        <v>1.839</v>
      </c>
      <c r="K82" s="59">
        <v>0.40500000000000003</v>
      </c>
      <c r="L82" s="59">
        <v>0.26100000000000001</v>
      </c>
      <c r="M82" s="59">
        <v>0</v>
      </c>
      <c r="N82" s="59">
        <v>11.336</v>
      </c>
      <c r="O82" s="59">
        <v>11.33</v>
      </c>
      <c r="P82" s="60">
        <v>0.29409999999999997</v>
      </c>
      <c r="Q82" s="61">
        <v>0.88558220167581625</v>
      </c>
      <c r="R82" s="51">
        <f t="shared" si="3"/>
        <v>1303.2904264663391</v>
      </c>
    </row>
    <row r="83" spans="1:18" ht="14" x14ac:dyDescent="0.15">
      <c r="A83" s="59">
        <v>48.591000000000001</v>
      </c>
      <c r="B83" s="59">
        <v>2.2250000000000001</v>
      </c>
      <c r="C83" s="59">
        <v>11.407999999999999</v>
      </c>
      <c r="D83" s="59">
        <v>1.7</v>
      </c>
      <c r="E83" s="59">
        <v>9.8049999999999997</v>
      </c>
      <c r="F83" s="59">
        <v>0.30599999999999999</v>
      </c>
      <c r="G83" s="59">
        <f t="shared" si="2"/>
        <v>0.18545454545454546</v>
      </c>
      <c r="H83" s="59">
        <v>12.673</v>
      </c>
      <c r="I83" s="59">
        <v>10.177</v>
      </c>
      <c r="J83" s="59">
        <v>1.855</v>
      </c>
      <c r="K83" s="59">
        <v>0.36599999999999999</v>
      </c>
      <c r="L83" s="59">
        <v>0.47099999999999997</v>
      </c>
      <c r="M83" s="59">
        <v>0</v>
      </c>
      <c r="N83" s="59">
        <v>11.335000000000001</v>
      </c>
      <c r="O83" s="59">
        <v>11.33</v>
      </c>
      <c r="P83" s="60">
        <v>0.28389999999999999</v>
      </c>
      <c r="Q83" s="61">
        <v>0.84226298583363601</v>
      </c>
      <c r="R83" s="51">
        <f t="shared" si="3"/>
        <v>1196.548782237559</v>
      </c>
    </row>
    <row r="84" spans="1:18" ht="14" x14ac:dyDescent="0.15">
      <c r="A84" s="59">
        <v>49.758000000000003</v>
      </c>
      <c r="B84" s="59">
        <v>2.3889999999999998</v>
      </c>
      <c r="C84" s="59">
        <v>12.387</v>
      </c>
      <c r="D84" s="59">
        <v>1.675</v>
      </c>
      <c r="E84" s="59">
        <v>9.8390000000000004</v>
      </c>
      <c r="F84" s="59">
        <v>0.32300000000000001</v>
      </c>
      <c r="G84" s="59">
        <f t="shared" si="2"/>
        <v>0.19575757575757577</v>
      </c>
      <c r="H84" s="59">
        <v>9.7910000000000004</v>
      </c>
      <c r="I84" s="59">
        <v>10.611000000000001</v>
      </c>
      <c r="J84" s="59">
        <v>1.905</v>
      </c>
      <c r="K84" s="59">
        <v>0.47199999999999998</v>
      </c>
      <c r="L84" s="59">
        <v>0.38</v>
      </c>
      <c r="M84" s="59">
        <v>0</v>
      </c>
      <c r="N84" s="59">
        <v>11.346</v>
      </c>
      <c r="O84" s="59">
        <v>11.33</v>
      </c>
      <c r="P84" s="60">
        <v>0.2651</v>
      </c>
      <c r="Q84" s="61">
        <v>0.93939543369988665</v>
      </c>
      <c r="R84" s="51">
        <f t="shared" si="3"/>
        <v>1246.1647822870952</v>
      </c>
    </row>
    <row r="85" spans="1:18" ht="14" x14ac:dyDescent="0.15">
      <c r="A85" s="59">
        <v>49.847999999999999</v>
      </c>
      <c r="B85" s="59">
        <v>2.61</v>
      </c>
      <c r="C85" s="59">
        <v>12.798</v>
      </c>
      <c r="D85" s="59">
        <v>1.718</v>
      </c>
      <c r="E85" s="59">
        <v>9.7970000000000006</v>
      </c>
      <c r="F85" s="59">
        <v>0.33700000000000002</v>
      </c>
      <c r="G85" s="59">
        <f t="shared" si="2"/>
        <v>0.20424242424242425</v>
      </c>
      <c r="H85" s="59">
        <v>8.2520000000000007</v>
      </c>
      <c r="I85" s="59">
        <v>11.199</v>
      </c>
      <c r="J85" s="59">
        <v>2.1749999999999998</v>
      </c>
      <c r="K85" s="59">
        <v>0.52200000000000002</v>
      </c>
      <c r="L85" s="59">
        <v>0.26700000000000002</v>
      </c>
      <c r="M85" s="59">
        <v>0</v>
      </c>
      <c r="N85" s="59">
        <v>11.343</v>
      </c>
      <c r="O85" s="59">
        <v>11.33</v>
      </c>
      <c r="P85" s="60">
        <v>0.28710000000000002</v>
      </c>
      <c r="Q85" s="61">
        <v>0.9548687329879707</v>
      </c>
      <c r="R85" s="51">
        <f t="shared" si="3"/>
        <v>1371.8106374571953</v>
      </c>
    </row>
    <row r="86" spans="1:18" ht="14" x14ac:dyDescent="0.15">
      <c r="A86" s="59">
        <v>49.773000000000003</v>
      </c>
      <c r="B86" s="59">
        <v>2.5960000000000001</v>
      </c>
      <c r="C86" s="59">
        <v>12.867000000000001</v>
      </c>
      <c r="D86" s="59">
        <v>1.7170000000000001</v>
      </c>
      <c r="E86" s="59">
        <v>9.8439999999999994</v>
      </c>
      <c r="F86" s="59">
        <v>0.34899999999999998</v>
      </c>
      <c r="G86" s="59">
        <f t="shared" si="2"/>
        <v>0.21151515151515152</v>
      </c>
      <c r="H86" s="59">
        <v>8.202</v>
      </c>
      <c r="I86" s="59">
        <v>11.231</v>
      </c>
      <c r="J86" s="59">
        <v>2.1429999999999998</v>
      </c>
      <c r="K86" s="59">
        <v>0.5</v>
      </c>
      <c r="L86" s="59">
        <v>0.30199999999999999</v>
      </c>
      <c r="M86" s="59">
        <v>0</v>
      </c>
      <c r="N86" s="59">
        <v>11.388</v>
      </c>
      <c r="O86" s="59">
        <v>11.33</v>
      </c>
      <c r="P86" s="60">
        <v>0.28689999999999999</v>
      </c>
      <c r="Q86" s="61">
        <v>0.95295268587691195</v>
      </c>
      <c r="R86" s="51">
        <f t="shared" si="3"/>
        <v>1368.1042363927425</v>
      </c>
    </row>
    <row r="87" spans="1:18" ht="14" x14ac:dyDescent="0.15">
      <c r="A87" s="59">
        <v>49.683</v>
      </c>
      <c r="B87" s="59">
        <v>2.6619999999999999</v>
      </c>
      <c r="C87" s="59">
        <v>12.73</v>
      </c>
      <c r="D87" s="59">
        <v>1.724</v>
      </c>
      <c r="E87" s="59">
        <v>9.7810000000000006</v>
      </c>
      <c r="F87" s="59">
        <v>0.372</v>
      </c>
      <c r="G87" s="59">
        <f t="shared" si="2"/>
        <v>0.22545454545454546</v>
      </c>
      <c r="H87" s="59">
        <v>8.2469999999999999</v>
      </c>
      <c r="I87" s="59">
        <v>11.438000000000001</v>
      </c>
      <c r="J87" s="59">
        <v>2.1339999999999999</v>
      </c>
      <c r="K87" s="59">
        <v>0.48</v>
      </c>
      <c r="L87" s="59">
        <v>0.27300000000000002</v>
      </c>
      <c r="M87" s="59">
        <v>0</v>
      </c>
      <c r="N87" s="59">
        <v>11.332000000000001</v>
      </c>
      <c r="O87" s="59">
        <v>11.33</v>
      </c>
      <c r="P87" s="60">
        <v>0.28699999999999998</v>
      </c>
      <c r="Q87" s="61">
        <v>0.95327436790851428</v>
      </c>
      <c r="R87" s="51">
        <f t="shared" si="3"/>
        <v>1369.0430769230768</v>
      </c>
    </row>
    <row r="88" spans="1:18" ht="14" x14ac:dyDescent="0.15">
      <c r="A88" s="59">
        <v>50.268000000000001</v>
      </c>
      <c r="B88" s="59">
        <v>2.5409999999999999</v>
      </c>
      <c r="C88" s="59">
        <v>12.696</v>
      </c>
      <c r="D88" s="59">
        <v>1.7</v>
      </c>
      <c r="E88" s="59">
        <v>9.81</v>
      </c>
      <c r="F88" s="59">
        <v>0.36599999999999999</v>
      </c>
      <c r="G88" s="59">
        <f t="shared" si="2"/>
        <v>0.22181818181818183</v>
      </c>
      <c r="H88" s="59">
        <v>8.3249999999999993</v>
      </c>
      <c r="I88" s="59">
        <v>10.875</v>
      </c>
      <c r="J88" s="59">
        <v>2.169</v>
      </c>
      <c r="K88" s="59">
        <v>0.52300000000000002</v>
      </c>
      <c r="L88" s="59">
        <v>0.253</v>
      </c>
      <c r="M88" s="59">
        <v>0</v>
      </c>
      <c r="N88" s="59">
        <v>11.34</v>
      </c>
      <c r="O88" s="59">
        <v>11.33</v>
      </c>
      <c r="P88" s="60">
        <v>0.27679999999999999</v>
      </c>
      <c r="Q88" s="61">
        <v>0.94819672131147537</v>
      </c>
      <c r="R88" s="51">
        <f t="shared" si="3"/>
        <v>1313.3541057049179</v>
      </c>
    </row>
    <row r="89" spans="1:18" ht="14" x14ac:dyDescent="0.15">
      <c r="A89" s="59">
        <v>48.170999999999999</v>
      </c>
      <c r="B89" s="59">
        <v>2.3559999999999999</v>
      </c>
      <c r="C89" s="59">
        <v>11.45</v>
      </c>
      <c r="D89" s="59">
        <v>1.6830000000000001</v>
      </c>
      <c r="E89" s="59">
        <v>9.8239999999999998</v>
      </c>
      <c r="F89" s="59">
        <v>0.33100000000000002</v>
      </c>
      <c r="G89" s="59">
        <f t="shared" si="2"/>
        <v>0.20060606060606062</v>
      </c>
      <c r="H89" s="59">
        <v>13.239000000000001</v>
      </c>
      <c r="I89" s="59">
        <v>10.208</v>
      </c>
      <c r="J89" s="59">
        <v>1.6160000000000001</v>
      </c>
      <c r="K89" s="59">
        <v>0.432</v>
      </c>
      <c r="L89" s="59">
        <v>0.27600000000000002</v>
      </c>
      <c r="M89" s="59">
        <v>0</v>
      </c>
      <c r="N89" s="59">
        <v>11.337999999999999</v>
      </c>
      <c r="O89" s="59">
        <v>11.33</v>
      </c>
      <c r="P89" s="60">
        <v>0.32069999999999999</v>
      </c>
      <c r="Q89" s="61">
        <v>0.83114745666820977</v>
      </c>
      <c r="R89" s="51">
        <f t="shared" si="3"/>
        <v>1333.8111427248882</v>
      </c>
    </row>
    <row r="90" spans="1:18" ht="14" x14ac:dyDescent="0.15">
      <c r="A90" s="59">
        <v>48.883000000000003</v>
      </c>
      <c r="B90" s="59">
        <v>2.262</v>
      </c>
      <c r="C90" s="59">
        <v>11.33</v>
      </c>
      <c r="D90" s="59">
        <v>1.673</v>
      </c>
      <c r="E90" s="59">
        <v>9.8249999999999993</v>
      </c>
      <c r="F90" s="59">
        <v>0.33800000000000002</v>
      </c>
      <c r="G90" s="59">
        <f t="shared" si="2"/>
        <v>0.20484848484848486</v>
      </c>
      <c r="H90" s="59">
        <v>13.146000000000001</v>
      </c>
      <c r="I90" s="59">
        <v>9.6140000000000008</v>
      </c>
      <c r="J90" s="59">
        <v>1.7689999999999999</v>
      </c>
      <c r="K90" s="59">
        <v>0.48099999999999998</v>
      </c>
      <c r="L90" s="59">
        <v>0.26900000000000002</v>
      </c>
      <c r="M90" s="59">
        <v>0</v>
      </c>
      <c r="N90" s="59">
        <v>11.331</v>
      </c>
      <c r="O90" s="59">
        <v>11.33</v>
      </c>
      <c r="P90" s="60">
        <v>0.24229999999999999</v>
      </c>
      <c r="Q90" s="61">
        <v>0.8188677498495579</v>
      </c>
      <c r="R90" s="51">
        <f t="shared" si="3"/>
        <v>992.85192556589357</v>
      </c>
    </row>
    <row r="91" spans="1:18" ht="14" x14ac:dyDescent="0.15">
      <c r="A91" s="59">
        <v>48.929000000000002</v>
      </c>
      <c r="B91" s="59">
        <v>2.3610000000000002</v>
      </c>
      <c r="C91" s="59">
        <v>11.117000000000001</v>
      </c>
      <c r="D91" s="59">
        <v>1.7130000000000001</v>
      </c>
      <c r="E91" s="59">
        <v>9.7929999999999993</v>
      </c>
      <c r="F91" s="59">
        <v>0.376</v>
      </c>
      <c r="G91" s="59">
        <f t="shared" si="2"/>
        <v>0.2278787878787879</v>
      </c>
      <c r="H91" s="59">
        <v>12.557</v>
      </c>
      <c r="I91" s="59">
        <v>10.159000000000001</v>
      </c>
      <c r="J91" s="59">
        <v>1.8879999999999999</v>
      </c>
      <c r="K91" s="59">
        <v>0.40300000000000002</v>
      </c>
      <c r="L91" s="59">
        <v>0.23799999999999999</v>
      </c>
      <c r="M91" s="59">
        <v>0</v>
      </c>
      <c r="N91" s="59">
        <v>11.335000000000001</v>
      </c>
      <c r="O91" s="59">
        <v>11.33</v>
      </c>
      <c r="P91" s="60">
        <v>0.27189999999999998</v>
      </c>
      <c r="Q91" s="61">
        <v>0.92790091905440608</v>
      </c>
      <c r="R91" s="51">
        <f t="shared" si="3"/>
        <v>1262.4904844940286</v>
      </c>
    </row>
    <row r="92" spans="1:18" ht="14" x14ac:dyDescent="0.15">
      <c r="A92" s="59">
        <v>48.628</v>
      </c>
      <c r="B92" s="59">
        <v>2.4359999999999999</v>
      </c>
      <c r="C92" s="59">
        <v>11.243</v>
      </c>
      <c r="D92" s="59">
        <v>1.694</v>
      </c>
      <c r="E92" s="59">
        <v>9.8089999999999993</v>
      </c>
      <c r="F92" s="59">
        <v>0.316</v>
      </c>
      <c r="G92" s="59">
        <f t="shared" si="2"/>
        <v>0.19151515151515153</v>
      </c>
      <c r="H92" s="59">
        <v>13.023</v>
      </c>
      <c r="I92" s="59">
        <v>9.6300000000000008</v>
      </c>
      <c r="J92" s="59">
        <v>1.927</v>
      </c>
      <c r="K92" s="59">
        <v>0.46200000000000002</v>
      </c>
      <c r="L92" s="59">
        <v>0.40699999999999997</v>
      </c>
      <c r="M92" s="59">
        <v>0</v>
      </c>
      <c r="N92" s="59">
        <v>11.334</v>
      </c>
      <c r="O92" s="59">
        <v>11.33</v>
      </c>
      <c r="P92" s="60">
        <v>0.30659999999999998</v>
      </c>
      <c r="Q92" s="61">
        <v>0.8505473163841808</v>
      </c>
      <c r="R92" s="51">
        <f t="shared" si="3"/>
        <v>1304.9321472457627</v>
      </c>
    </row>
    <row r="93" spans="1:18" ht="14" x14ac:dyDescent="0.15">
      <c r="A93" s="59">
        <v>49.124000000000002</v>
      </c>
      <c r="B93" s="59">
        <v>2.0179999999999998</v>
      </c>
      <c r="C93" s="59">
        <v>11.058999999999999</v>
      </c>
      <c r="D93" s="59">
        <v>1.6890000000000001</v>
      </c>
      <c r="E93" s="59">
        <v>9.8130000000000006</v>
      </c>
      <c r="F93" s="59">
        <v>0.35599999999999998</v>
      </c>
      <c r="G93" s="59">
        <f t="shared" si="2"/>
        <v>0.21575757575757576</v>
      </c>
      <c r="H93" s="59">
        <v>13.199</v>
      </c>
      <c r="I93" s="59">
        <v>9.9960000000000004</v>
      </c>
      <c r="J93" s="59">
        <v>1.748</v>
      </c>
      <c r="K93" s="59">
        <v>0.34599999999999997</v>
      </c>
      <c r="L93" s="59">
        <v>0.216</v>
      </c>
      <c r="M93" s="59">
        <v>0</v>
      </c>
      <c r="N93" s="59">
        <v>11.333</v>
      </c>
      <c r="O93" s="59">
        <v>11.33</v>
      </c>
      <c r="P93" s="60">
        <v>0.28749999999999998</v>
      </c>
      <c r="Q93" s="61">
        <v>0.87299605453728213</v>
      </c>
      <c r="R93" s="51">
        <f t="shared" si="3"/>
        <v>1255.9357738600609</v>
      </c>
    </row>
    <row r="94" spans="1:18" ht="14" x14ac:dyDescent="0.15">
      <c r="A94" s="59">
        <v>48.323999999999998</v>
      </c>
      <c r="B94" s="59">
        <v>2.4289999999999998</v>
      </c>
      <c r="C94" s="59">
        <v>11.461</v>
      </c>
      <c r="D94" s="59">
        <v>1.6950000000000001</v>
      </c>
      <c r="E94" s="59">
        <v>9.8070000000000004</v>
      </c>
      <c r="F94" s="59">
        <v>0.38600000000000001</v>
      </c>
      <c r="G94" s="59">
        <f t="shared" si="2"/>
        <v>0.23393939393939395</v>
      </c>
      <c r="H94" s="59">
        <v>12.76</v>
      </c>
      <c r="I94" s="59">
        <v>10.295999999999999</v>
      </c>
      <c r="J94" s="59">
        <v>1.722</v>
      </c>
      <c r="K94" s="59">
        <v>0.435</v>
      </c>
      <c r="L94" s="59">
        <v>0.24</v>
      </c>
      <c r="M94" s="59">
        <v>0</v>
      </c>
      <c r="N94" s="59">
        <v>11.332000000000001</v>
      </c>
      <c r="O94" s="59">
        <v>11.33</v>
      </c>
      <c r="P94" s="60">
        <v>0.27200000000000002</v>
      </c>
      <c r="Q94" s="61">
        <v>0.8891872353609418</v>
      </c>
      <c r="R94" s="51">
        <f t="shared" si="3"/>
        <v>1210.2620758029536</v>
      </c>
    </row>
    <row r="95" spans="1:18" ht="14" x14ac:dyDescent="0.15">
      <c r="A95" s="59">
        <v>49.131999999999998</v>
      </c>
      <c r="B95" s="59">
        <v>2.1640000000000001</v>
      </c>
      <c r="C95" s="59">
        <v>11.186</v>
      </c>
      <c r="D95" s="59">
        <v>1.6779999999999999</v>
      </c>
      <c r="E95" s="59">
        <v>9.8209999999999997</v>
      </c>
      <c r="F95" s="59">
        <v>0.33900000000000002</v>
      </c>
      <c r="G95" s="59">
        <f t="shared" si="2"/>
        <v>0.20545454545454547</v>
      </c>
      <c r="H95" s="59">
        <v>13.103999999999999</v>
      </c>
      <c r="I95" s="59">
        <v>9.6349999999999998</v>
      </c>
      <c r="J95" s="59">
        <v>1.8180000000000001</v>
      </c>
      <c r="K95" s="59">
        <v>0.41399999999999998</v>
      </c>
      <c r="L95" s="59">
        <v>0.28100000000000003</v>
      </c>
      <c r="M95" s="59">
        <v>0</v>
      </c>
      <c r="N95" s="59">
        <v>11.331</v>
      </c>
      <c r="O95" s="59">
        <v>11.33</v>
      </c>
      <c r="P95" s="60">
        <v>0.27860000000000001</v>
      </c>
      <c r="Q95" s="61">
        <v>0.85200112475396017</v>
      </c>
      <c r="R95" s="51">
        <f t="shared" si="3"/>
        <v>1187.7870368356926</v>
      </c>
    </row>
    <row r="96" spans="1:18" ht="14" x14ac:dyDescent="0.15">
      <c r="A96" s="59">
        <v>48.613</v>
      </c>
      <c r="B96" s="59">
        <v>2.2999999999999998</v>
      </c>
      <c r="C96" s="59">
        <v>11.311999999999999</v>
      </c>
      <c r="D96" s="59">
        <v>1.6859999999999999</v>
      </c>
      <c r="E96" s="59">
        <v>9.8179999999999996</v>
      </c>
      <c r="F96" s="59">
        <v>0.38400000000000001</v>
      </c>
      <c r="G96" s="59">
        <f t="shared" si="2"/>
        <v>0.23272727272727275</v>
      </c>
      <c r="H96" s="59">
        <v>13.183999999999999</v>
      </c>
      <c r="I96" s="59">
        <v>9.798</v>
      </c>
      <c r="J96" s="59">
        <v>1.8160000000000001</v>
      </c>
      <c r="K96" s="59">
        <v>0.41799999999999998</v>
      </c>
      <c r="L96" s="59">
        <v>0.24</v>
      </c>
      <c r="M96" s="59">
        <v>0</v>
      </c>
      <c r="N96" s="59">
        <v>11.334</v>
      </c>
      <c r="O96" s="59">
        <v>11.33</v>
      </c>
      <c r="P96" s="60">
        <v>0.25269999999999998</v>
      </c>
      <c r="Q96" s="61">
        <v>0.86270783847981003</v>
      </c>
      <c r="R96" s="51">
        <f t="shared" si="3"/>
        <v>1090.9033790023752</v>
      </c>
    </row>
    <row r="97" spans="1:18" ht="14" x14ac:dyDescent="0.15">
      <c r="A97" s="59">
        <v>49.530999999999999</v>
      </c>
      <c r="B97" s="59">
        <v>2.6379999999999999</v>
      </c>
      <c r="C97" s="59">
        <v>13.137</v>
      </c>
      <c r="D97" s="59">
        <v>1.7170000000000001</v>
      </c>
      <c r="E97" s="59">
        <v>9.798</v>
      </c>
      <c r="F97" s="59">
        <v>0.38600000000000001</v>
      </c>
      <c r="G97" s="59">
        <f t="shared" si="2"/>
        <v>0.23393939393939395</v>
      </c>
      <c r="H97" s="59">
        <v>8.0559999999999992</v>
      </c>
      <c r="I97" s="59">
        <v>11.228999999999999</v>
      </c>
      <c r="J97" s="59">
        <v>2.286</v>
      </c>
      <c r="K97" s="59">
        <v>0.49399999999999999</v>
      </c>
      <c r="L97" s="59">
        <v>0.23799999999999999</v>
      </c>
      <c r="M97" s="59">
        <v>0</v>
      </c>
      <c r="N97" s="59">
        <v>11.343</v>
      </c>
      <c r="O97" s="59">
        <v>11.33</v>
      </c>
      <c r="P97" s="60">
        <v>0.28460000000000002</v>
      </c>
      <c r="Q97" s="61">
        <v>0.97863778415171876</v>
      </c>
      <c r="R97" s="51">
        <f t="shared" si="3"/>
        <v>1393.7156481013742</v>
      </c>
    </row>
    <row r="98" spans="1:18" ht="14" x14ac:dyDescent="0.15">
      <c r="A98" s="59">
        <v>50.497999999999998</v>
      </c>
      <c r="B98" s="59">
        <v>2.552</v>
      </c>
      <c r="C98" s="59">
        <v>12.442</v>
      </c>
      <c r="D98" s="59">
        <v>1.706</v>
      </c>
      <c r="E98" s="59">
        <v>9.8019999999999996</v>
      </c>
      <c r="F98" s="59">
        <v>0.36799999999999999</v>
      </c>
      <c r="G98" s="59">
        <f t="shared" si="2"/>
        <v>0.22303030303030305</v>
      </c>
      <c r="H98" s="59">
        <v>8.1649999999999991</v>
      </c>
      <c r="I98" s="59">
        <v>11.14</v>
      </c>
      <c r="J98" s="59">
        <v>2.0870000000000002</v>
      </c>
      <c r="K98" s="59">
        <v>0.46899999999999997</v>
      </c>
      <c r="L98" s="59">
        <v>0.29699999999999999</v>
      </c>
      <c r="M98" s="59">
        <v>0</v>
      </c>
      <c r="N98" s="59">
        <v>11.337</v>
      </c>
      <c r="O98" s="59">
        <v>11.33</v>
      </c>
      <c r="P98" s="60">
        <v>0.2888</v>
      </c>
      <c r="Q98" s="61">
        <v>0.94846391565169974</v>
      </c>
      <c r="R98" s="51">
        <f t="shared" si="3"/>
        <v>1370.6775597164151</v>
      </c>
    </row>
    <row r="99" spans="1:18" ht="14" x14ac:dyDescent="0.15">
      <c r="A99" s="59">
        <v>50.014000000000003</v>
      </c>
      <c r="B99" s="59">
        <v>2.605</v>
      </c>
      <c r="C99" s="59">
        <v>12.87</v>
      </c>
      <c r="D99" s="59">
        <v>1.722</v>
      </c>
      <c r="E99" s="59">
        <v>9.827</v>
      </c>
      <c r="F99" s="59">
        <v>0.33700000000000002</v>
      </c>
      <c r="G99" s="59">
        <f t="shared" si="2"/>
        <v>0.20424242424242425</v>
      </c>
      <c r="H99" s="59">
        <v>8.0640000000000001</v>
      </c>
      <c r="I99" s="59">
        <v>10.984</v>
      </c>
      <c r="J99" s="59">
        <v>2.3039999999999998</v>
      </c>
      <c r="K99" s="59">
        <v>0.52200000000000002</v>
      </c>
      <c r="L99" s="59">
        <v>0.27400000000000002</v>
      </c>
      <c r="M99" s="59">
        <v>0</v>
      </c>
      <c r="N99" s="59">
        <v>11.375999999999999</v>
      </c>
      <c r="O99" s="59">
        <v>11.33</v>
      </c>
      <c r="P99" s="60">
        <v>0.29360000000000003</v>
      </c>
      <c r="Q99" s="61">
        <v>0.95534270431645718</v>
      </c>
      <c r="R99" s="51">
        <f t="shared" si="3"/>
        <v>1403.5650444085086</v>
      </c>
    </row>
    <row r="100" spans="1:18" ht="14" x14ac:dyDescent="0.15">
      <c r="A100" s="59">
        <v>49.933</v>
      </c>
      <c r="B100" s="59">
        <v>2.6030000000000002</v>
      </c>
      <c r="C100" s="59">
        <v>12.804</v>
      </c>
      <c r="D100" s="59">
        <v>1.7210000000000001</v>
      </c>
      <c r="E100" s="59">
        <v>9.7880000000000003</v>
      </c>
      <c r="F100" s="59">
        <v>0.35899999999999999</v>
      </c>
      <c r="G100" s="59">
        <f t="shared" si="2"/>
        <v>0.21757575757575759</v>
      </c>
      <c r="H100" s="59">
        <v>8.0459999999999994</v>
      </c>
      <c r="I100" s="59">
        <v>11.414</v>
      </c>
      <c r="J100" s="59">
        <v>2.1960000000000002</v>
      </c>
      <c r="K100" s="59">
        <v>0.434</v>
      </c>
      <c r="L100" s="59">
        <v>0.22500000000000001</v>
      </c>
      <c r="M100" s="59">
        <v>0</v>
      </c>
      <c r="N100" s="59">
        <v>11.337</v>
      </c>
      <c r="O100" s="59">
        <v>11.33</v>
      </c>
      <c r="P100" s="60">
        <v>0.28410000000000002</v>
      </c>
      <c r="Q100" s="61">
        <v>0.95374592833876215</v>
      </c>
      <c r="R100" s="51">
        <f t="shared" si="3"/>
        <v>1355.8799280781759</v>
      </c>
    </row>
    <row r="101" spans="1:18" ht="14" x14ac:dyDescent="0.15">
      <c r="A101" s="59">
        <v>48.408999999999999</v>
      </c>
      <c r="B101" s="59">
        <v>2.44</v>
      </c>
      <c r="C101" s="59">
        <v>11.656000000000001</v>
      </c>
      <c r="D101" s="59">
        <v>1.6839999999999999</v>
      </c>
      <c r="E101" s="59">
        <v>9.8179999999999996</v>
      </c>
      <c r="F101" s="59">
        <v>0.32700000000000001</v>
      </c>
      <c r="G101" s="59">
        <f t="shared" si="2"/>
        <v>0.19818181818181821</v>
      </c>
      <c r="H101" s="59">
        <v>12.82</v>
      </c>
      <c r="I101" s="59">
        <v>9.8940000000000001</v>
      </c>
      <c r="J101" s="59">
        <v>1.8779999999999999</v>
      </c>
      <c r="K101" s="59">
        <v>0.41</v>
      </c>
      <c r="L101" s="59">
        <v>0.23699999999999999</v>
      </c>
      <c r="M101" s="59">
        <v>0</v>
      </c>
      <c r="N101" s="59">
        <v>11.334</v>
      </c>
      <c r="O101" s="59">
        <v>11.33</v>
      </c>
      <c r="P101" s="60">
        <v>0.22550000000000001</v>
      </c>
      <c r="Q101" s="61">
        <v>0.85410223758413684</v>
      </c>
      <c r="R101" s="51">
        <f t="shared" si="3"/>
        <v>963.7706730944152</v>
      </c>
    </row>
    <row r="102" spans="1:18" ht="14" x14ac:dyDescent="0.15">
      <c r="A102" s="59">
        <v>49.704000000000001</v>
      </c>
      <c r="B102" s="59">
        <v>2.274</v>
      </c>
      <c r="C102" s="59">
        <v>12.047000000000001</v>
      </c>
      <c r="D102" s="59">
        <v>1.716</v>
      </c>
      <c r="E102" s="59">
        <v>9.7889999999999997</v>
      </c>
      <c r="F102" s="59">
        <v>0.34399999999999997</v>
      </c>
      <c r="G102" s="59">
        <f t="shared" si="2"/>
        <v>0.20848484848484847</v>
      </c>
      <c r="H102" s="59">
        <v>10.08</v>
      </c>
      <c r="I102" s="59">
        <v>10.965999999999999</v>
      </c>
      <c r="J102" s="59">
        <v>1.9890000000000001</v>
      </c>
      <c r="K102" s="59">
        <v>0.39600000000000002</v>
      </c>
      <c r="L102" s="59">
        <v>0.26200000000000001</v>
      </c>
      <c r="M102" s="59">
        <v>0</v>
      </c>
      <c r="N102" s="59">
        <v>11.333</v>
      </c>
      <c r="O102" s="59">
        <v>11.33</v>
      </c>
      <c r="P102" s="60">
        <v>0.1255</v>
      </c>
      <c r="Q102" s="61">
        <v>0.86335619411407249</v>
      </c>
      <c r="R102" s="51">
        <f t="shared" si="3"/>
        <v>542.18941661602571</v>
      </c>
    </row>
    <row r="103" spans="1:18" ht="14" x14ac:dyDescent="0.15">
      <c r="A103" s="59">
        <v>49.276000000000003</v>
      </c>
      <c r="B103" s="59">
        <v>2.9329999999999998</v>
      </c>
      <c r="C103" s="59">
        <v>12.425000000000001</v>
      </c>
      <c r="D103" s="59">
        <v>1.679</v>
      </c>
      <c r="E103" s="59">
        <v>9.8529999999999998</v>
      </c>
      <c r="F103" s="59">
        <v>0.33500000000000002</v>
      </c>
      <c r="G103" s="59">
        <f t="shared" si="2"/>
        <v>0.20303030303030306</v>
      </c>
      <c r="H103" s="59">
        <v>9.39</v>
      </c>
      <c r="I103" s="59">
        <v>11.3</v>
      </c>
      <c r="J103" s="59">
        <v>1.6850000000000001</v>
      </c>
      <c r="K103" s="59">
        <v>0.42</v>
      </c>
      <c r="L103" s="59">
        <v>0.23400000000000001</v>
      </c>
      <c r="M103" s="59">
        <v>0</v>
      </c>
      <c r="N103" s="59">
        <v>11.364000000000001</v>
      </c>
      <c r="O103" s="59">
        <v>11.33</v>
      </c>
      <c r="P103" s="60">
        <v>0.30730000000000002</v>
      </c>
      <c r="Q103" s="61">
        <v>0.94055260954507391</v>
      </c>
      <c r="R103" s="51">
        <f t="shared" si="3"/>
        <v>1446.3152118336589</v>
      </c>
    </row>
    <row r="104" spans="1:18" ht="14" x14ac:dyDescent="0.15">
      <c r="A104" s="59">
        <v>48.430999999999997</v>
      </c>
      <c r="B104" s="59">
        <v>2.1389999999999998</v>
      </c>
      <c r="C104" s="59">
        <v>11.426</v>
      </c>
      <c r="D104" s="59">
        <v>1.677</v>
      </c>
      <c r="E104" s="59">
        <v>9.8230000000000004</v>
      </c>
      <c r="F104" s="59">
        <v>0.33400000000000002</v>
      </c>
      <c r="G104" s="59">
        <f t="shared" si="2"/>
        <v>0.20242424242424245</v>
      </c>
      <c r="H104" s="59">
        <v>13.288</v>
      </c>
      <c r="I104" s="59">
        <v>9.9730000000000008</v>
      </c>
      <c r="J104" s="59">
        <v>1.681</v>
      </c>
      <c r="K104" s="59">
        <v>0.42699999999999999</v>
      </c>
      <c r="L104" s="59">
        <v>0.38100000000000001</v>
      </c>
      <c r="M104" s="59">
        <v>0</v>
      </c>
      <c r="N104" s="59">
        <v>11.331</v>
      </c>
      <c r="O104" s="59">
        <v>11.33</v>
      </c>
      <c r="P104" s="60">
        <v>0.2142</v>
      </c>
      <c r="Q104" s="61">
        <v>0.83894794629934633</v>
      </c>
      <c r="R104" s="51">
        <f t="shared" si="3"/>
        <v>899.23206108698923</v>
      </c>
    </row>
    <row r="105" spans="1:18" ht="14" x14ac:dyDescent="0.15">
      <c r="A105" s="59">
        <v>48.445999999999998</v>
      </c>
      <c r="B105" s="59">
        <v>2.2509999999999999</v>
      </c>
      <c r="C105" s="59">
        <v>11.404999999999999</v>
      </c>
      <c r="D105" s="59">
        <v>1.704</v>
      </c>
      <c r="E105" s="59">
        <v>9.7970000000000006</v>
      </c>
      <c r="F105" s="59">
        <v>0.34899999999999998</v>
      </c>
      <c r="G105" s="59">
        <f t="shared" si="2"/>
        <v>0.21151515151515152</v>
      </c>
      <c r="H105" s="59">
        <v>12.529</v>
      </c>
      <c r="I105" s="59">
        <v>10.528</v>
      </c>
      <c r="J105" s="59">
        <v>1.726</v>
      </c>
      <c r="K105" s="59">
        <v>0.39400000000000002</v>
      </c>
      <c r="L105" s="59">
        <v>0.42299999999999999</v>
      </c>
      <c r="M105" s="59">
        <v>0</v>
      </c>
      <c r="N105" s="59">
        <v>11.331</v>
      </c>
      <c r="O105" s="59">
        <v>11.33</v>
      </c>
      <c r="P105" s="60">
        <v>0.2069</v>
      </c>
      <c r="Q105" s="61">
        <v>0.89583225203716199</v>
      </c>
      <c r="R105" s="51">
        <f t="shared" si="3"/>
        <v>927.47985550423016</v>
      </c>
    </row>
    <row r="106" spans="1:18" ht="14" x14ac:dyDescent="0.15">
      <c r="A106" s="59">
        <v>49.137999999999998</v>
      </c>
      <c r="B106" s="59">
        <v>2.1059999999999999</v>
      </c>
      <c r="C106" s="59">
        <v>11.228</v>
      </c>
      <c r="D106" s="59">
        <v>1.6950000000000001</v>
      </c>
      <c r="E106" s="59">
        <v>9.8119999999999994</v>
      </c>
      <c r="F106" s="59">
        <v>0.38100000000000001</v>
      </c>
      <c r="G106" s="59">
        <f t="shared" si="2"/>
        <v>0.23090909090909092</v>
      </c>
      <c r="H106" s="59">
        <v>12.653</v>
      </c>
      <c r="I106" s="59">
        <v>10.148</v>
      </c>
      <c r="J106" s="59">
        <v>1.7609999999999999</v>
      </c>
      <c r="K106" s="59">
        <v>0.41399999999999998</v>
      </c>
      <c r="L106" s="59">
        <v>0.22600000000000001</v>
      </c>
      <c r="M106" s="59">
        <v>0</v>
      </c>
      <c r="N106" s="59">
        <v>11.337999999999999</v>
      </c>
      <c r="O106" s="59">
        <v>11.33</v>
      </c>
      <c r="P106" s="60">
        <v>0.22220000000000001</v>
      </c>
      <c r="Q106" s="61">
        <v>0.87795393359258156</v>
      </c>
      <c r="R106" s="51">
        <f t="shared" si="3"/>
        <v>976.18714567753511</v>
      </c>
    </row>
    <row r="107" spans="1:18" ht="14" x14ac:dyDescent="0.15">
      <c r="A107" s="59">
        <v>50.375999999999998</v>
      </c>
      <c r="B107" s="59">
        <v>2.56</v>
      </c>
      <c r="C107" s="59">
        <v>12.786</v>
      </c>
      <c r="D107" s="59">
        <v>1.6930000000000001</v>
      </c>
      <c r="E107" s="59">
        <v>9.8089999999999993</v>
      </c>
      <c r="F107" s="59">
        <v>0.379</v>
      </c>
      <c r="G107" s="59">
        <f t="shared" si="2"/>
        <v>0.22969696969696971</v>
      </c>
      <c r="H107" s="59">
        <v>8.0990000000000002</v>
      </c>
      <c r="I107" s="59">
        <v>10.942</v>
      </c>
      <c r="J107" s="59">
        <v>2.1539999999999999</v>
      </c>
      <c r="K107" s="59">
        <v>0.502</v>
      </c>
      <c r="L107" s="59">
        <v>0.22800000000000001</v>
      </c>
      <c r="M107" s="59">
        <v>0</v>
      </c>
      <c r="N107" s="59">
        <v>11.332000000000001</v>
      </c>
      <c r="O107" s="59">
        <v>11.33</v>
      </c>
      <c r="P107" s="60">
        <v>0.30270000000000002</v>
      </c>
      <c r="Q107" s="61">
        <v>0.94266958424507652</v>
      </c>
      <c r="R107" s="51">
        <f t="shared" si="3"/>
        <v>1427.8718000875274</v>
      </c>
    </row>
    <row r="108" spans="1:18" ht="14" x14ac:dyDescent="0.15">
      <c r="A108" s="59">
        <v>49.816000000000003</v>
      </c>
      <c r="B108" s="59">
        <v>2.5369999999999999</v>
      </c>
      <c r="C108" s="59">
        <v>12.723000000000001</v>
      </c>
      <c r="D108" s="59">
        <v>1.7190000000000001</v>
      </c>
      <c r="E108" s="59">
        <v>9.85</v>
      </c>
      <c r="F108" s="59">
        <v>0.35899999999999999</v>
      </c>
      <c r="G108" s="59">
        <f t="shared" si="2"/>
        <v>0.21757575757575759</v>
      </c>
      <c r="H108" s="59">
        <v>8.3350000000000009</v>
      </c>
      <c r="I108" s="59">
        <v>11.445</v>
      </c>
      <c r="J108" s="59">
        <v>1.976</v>
      </c>
      <c r="K108" s="59">
        <v>0.53500000000000003</v>
      </c>
      <c r="L108" s="59">
        <v>0.23799999999999999</v>
      </c>
      <c r="M108" s="59">
        <v>0</v>
      </c>
      <c r="N108" s="59">
        <v>11.397</v>
      </c>
      <c r="O108" s="59">
        <v>11.33</v>
      </c>
      <c r="P108" s="60">
        <v>0.29809999999999998</v>
      </c>
      <c r="Q108" s="61">
        <v>0.92988235294117649</v>
      </c>
      <c r="R108" s="51">
        <f t="shared" si="3"/>
        <v>1387.0984387764706</v>
      </c>
    </row>
    <row r="109" spans="1:18" ht="14" x14ac:dyDescent="0.15">
      <c r="A109" s="59">
        <v>49.707999999999998</v>
      </c>
      <c r="B109" s="59">
        <v>2.6509999999999998</v>
      </c>
      <c r="C109" s="59">
        <v>12.515000000000001</v>
      </c>
      <c r="D109" s="59">
        <v>1.7310000000000001</v>
      </c>
      <c r="E109" s="59">
        <v>9.8420000000000005</v>
      </c>
      <c r="F109" s="59">
        <v>0.34200000000000003</v>
      </c>
      <c r="G109" s="59">
        <f t="shared" si="2"/>
        <v>0.2072727272727273</v>
      </c>
      <c r="H109" s="59">
        <v>8.3279999999999994</v>
      </c>
      <c r="I109" s="59">
        <v>11.834</v>
      </c>
      <c r="J109" s="59">
        <v>1.8240000000000001</v>
      </c>
      <c r="K109" s="59">
        <v>0.53600000000000003</v>
      </c>
      <c r="L109" s="59">
        <v>0.25</v>
      </c>
      <c r="M109" s="59">
        <v>0</v>
      </c>
      <c r="N109" s="59">
        <v>11.4</v>
      </c>
      <c r="O109" s="59">
        <v>11.33</v>
      </c>
      <c r="P109" s="62">
        <v>0.315</v>
      </c>
      <c r="Q109" s="61">
        <v>0.87498800729156678</v>
      </c>
      <c r="R109" s="51">
        <f t="shared" si="3"/>
        <v>1379.208596373405</v>
      </c>
    </row>
    <row r="110" spans="1:18" ht="14" x14ac:dyDescent="0.15">
      <c r="A110" s="59">
        <v>50.192</v>
      </c>
      <c r="B110" s="59">
        <v>2.621</v>
      </c>
      <c r="C110" s="59">
        <v>12.952999999999999</v>
      </c>
      <c r="D110" s="59">
        <v>1.671</v>
      </c>
      <c r="E110" s="59">
        <v>9.827</v>
      </c>
      <c r="F110" s="59">
        <v>0.33100000000000002</v>
      </c>
      <c r="G110" s="59">
        <f t="shared" si="2"/>
        <v>0.20060606060606062</v>
      </c>
      <c r="H110" s="59">
        <v>8.0090000000000003</v>
      </c>
      <c r="I110" s="59">
        <v>11.27</v>
      </c>
      <c r="J110" s="59">
        <v>1.9159999999999999</v>
      </c>
      <c r="K110" s="59">
        <v>0.48199999999999998</v>
      </c>
      <c r="L110" s="59">
        <v>0.26100000000000001</v>
      </c>
      <c r="M110" s="59">
        <v>0</v>
      </c>
      <c r="N110" s="59">
        <v>11.33</v>
      </c>
      <c r="O110" s="59">
        <v>11.33</v>
      </c>
      <c r="P110" s="60">
        <v>0.1951</v>
      </c>
      <c r="Q110" s="61">
        <v>0.93678189018725855</v>
      </c>
      <c r="R110" s="51">
        <f t="shared" si="3"/>
        <v>914.56179846477289</v>
      </c>
    </row>
    <row r="111" spans="1:18" ht="14" x14ac:dyDescent="0.15">
      <c r="A111" s="59">
        <v>48.213999999999999</v>
      </c>
      <c r="B111" s="59">
        <v>2.214</v>
      </c>
      <c r="C111" s="59">
        <v>11.63</v>
      </c>
      <c r="D111" s="59">
        <v>1.694</v>
      </c>
      <c r="E111" s="59">
        <v>9.8130000000000006</v>
      </c>
      <c r="F111" s="59">
        <v>0.27300000000000002</v>
      </c>
      <c r="G111" s="59">
        <f t="shared" si="2"/>
        <v>0.16545454545454547</v>
      </c>
      <c r="H111" s="59">
        <v>13.061999999999999</v>
      </c>
      <c r="I111" s="59">
        <v>10.427</v>
      </c>
      <c r="J111" s="59">
        <v>1.7070000000000001</v>
      </c>
      <c r="K111" s="59">
        <v>0.36399999999999999</v>
      </c>
      <c r="L111" s="59">
        <v>0.21099999999999999</v>
      </c>
      <c r="M111" s="59">
        <v>0</v>
      </c>
      <c r="N111" s="59">
        <v>11.337999999999999</v>
      </c>
      <c r="O111" s="59">
        <v>11.33</v>
      </c>
      <c r="P111" s="60">
        <v>0.2767</v>
      </c>
      <c r="Q111" s="61">
        <v>0.78248911299564516</v>
      </c>
      <c r="R111" s="51">
        <f t="shared" si="3"/>
        <v>1083.4397467797387</v>
      </c>
    </row>
    <row r="112" spans="1:18" ht="14" x14ac:dyDescent="0.15">
      <c r="A112" s="59">
        <v>49.148000000000003</v>
      </c>
      <c r="B112" s="59">
        <v>2.218</v>
      </c>
      <c r="C112" s="59">
        <v>12.262</v>
      </c>
      <c r="D112" s="59">
        <v>1.722</v>
      </c>
      <c r="E112" s="59">
        <v>9.7870000000000008</v>
      </c>
      <c r="F112" s="59">
        <v>0.372</v>
      </c>
      <c r="G112" s="59">
        <f t="shared" si="2"/>
        <v>0.22545454545454546</v>
      </c>
      <c r="H112" s="59">
        <v>10.247</v>
      </c>
      <c r="I112" s="59">
        <v>11.192</v>
      </c>
      <c r="J112" s="59">
        <v>1.966</v>
      </c>
      <c r="K112" s="59">
        <v>0.40200000000000002</v>
      </c>
      <c r="L112" s="59">
        <v>0.22900000000000001</v>
      </c>
      <c r="M112" s="59">
        <v>0</v>
      </c>
      <c r="N112" s="59">
        <v>11.336</v>
      </c>
      <c r="O112" s="59">
        <v>11.33</v>
      </c>
      <c r="P112" s="60">
        <v>0.26879999999999998</v>
      </c>
      <c r="Q112" s="61">
        <v>0.91208536302482024</v>
      </c>
      <c r="R112" s="51">
        <f t="shared" si="3"/>
        <v>1226.8234020876828</v>
      </c>
    </row>
    <row r="113" spans="1:18" ht="14" x14ac:dyDescent="0.15">
      <c r="A113" s="59">
        <v>50.677999999999997</v>
      </c>
      <c r="B113" s="59">
        <v>2.3010000000000002</v>
      </c>
      <c r="C113" s="59">
        <v>12.808</v>
      </c>
      <c r="D113" s="59">
        <v>1.641</v>
      </c>
      <c r="E113" s="59">
        <v>9.8650000000000002</v>
      </c>
      <c r="F113" s="59">
        <v>0.379</v>
      </c>
      <c r="G113" s="59">
        <f t="shared" si="2"/>
        <v>0.22969696969696971</v>
      </c>
      <c r="H113" s="59">
        <v>8.5559999999999992</v>
      </c>
      <c r="I113" s="59">
        <v>10.622</v>
      </c>
      <c r="J113" s="59">
        <v>1.9419999999999999</v>
      </c>
      <c r="K113" s="59">
        <v>0.41599999999999998</v>
      </c>
      <c r="L113" s="59">
        <v>0.28599999999999998</v>
      </c>
      <c r="M113" s="59">
        <v>0</v>
      </c>
      <c r="N113" s="59">
        <v>11.342000000000001</v>
      </c>
      <c r="O113" s="59">
        <v>11.33</v>
      </c>
      <c r="P113" s="60">
        <v>0.3196</v>
      </c>
      <c r="Q113" s="61">
        <v>1.0101430429128737</v>
      </c>
      <c r="R113" s="51">
        <f t="shared" si="3"/>
        <v>1615.4999494408319</v>
      </c>
    </row>
    <row r="114" spans="1:18" ht="14" x14ac:dyDescent="0.15">
      <c r="A114" s="59">
        <v>48.591999999999999</v>
      </c>
      <c r="B114" s="59">
        <v>2.383</v>
      </c>
      <c r="C114" s="59">
        <v>11.709</v>
      </c>
      <c r="D114" s="59">
        <v>1.6910000000000001</v>
      </c>
      <c r="E114" s="59">
        <v>9.8119999999999994</v>
      </c>
      <c r="F114" s="59">
        <v>0.30399999999999999</v>
      </c>
      <c r="G114" s="59">
        <f t="shared" si="2"/>
        <v>0.18424242424242424</v>
      </c>
      <c r="H114" s="59">
        <v>12.31</v>
      </c>
      <c r="I114" s="59">
        <v>10.188000000000001</v>
      </c>
      <c r="J114" s="59">
        <v>1.81</v>
      </c>
      <c r="K114" s="59">
        <v>0.48099999999999998</v>
      </c>
      <c r="L114" s="59">
        <v>0.29299999999999998</v>
      </c>
      <c r="M114" s="59">
        <v>0</v>
      </c>
      <c r="N114" s="59">
        <v>11.333</v>
      </c>
      <c r="O114" s="59">
        <v>11.33</v>
      </c>
      <c r="P114" s="60">
        <v>0.14199999999999999</v>
      </c>
      <c r="Q114" s="61">
        <v>0.85554925316695019</v>
      </c>
      <c r="R114" s="51">
        <f t="shared" si="3"/>
        <v>607.92592172433342</v>
      </c>
    </row>
    <row r="115" spans="1:18" ht="14" x14ac:dyDescent="0.15">
      <c r="A115" s="59">
        <v>49.765999999999998</v>
      </c>
      <c r="B115" s="59">
        <v>2.6880000000000002</v>
      </c>
      <c r="C115" s="59">
        <v>12.646000000000001</v>
      </c>
      <c r="D115" s="59">
        <v>1.6080000000000001</v>
      </c>
      <c r="E115" s="59">
        <v>9.8870000000000005</v>
      </c>
      <c r="F115" s="59">
        <v>0.35699999999999998</v>
      </c>
      <c r="G115" s="59">
        <f t="shared" si="2"/>
        <v>0.21636363636363637</v>
      </c>
      <c r="H115" s="59">
        <v>9.625</v>
      </c>
      <c r="I115" s="59">
        <v>10.616</v>
      </c>
      <c r="J115" s="59">
        <v>1.57</v>
      </c>
      <c r="K115" s="59">
        <v>0.36899999999999999</v>
      </c>
      <c r="L115" s="59">
        <v>0.39400000000000002</v>
      </c>
      <c r="M115" s="59">
        <v>0</v>
      </c>
      <c r="N115" s="59">
        <v>11.334</v>
      </c>
      <c r="O115" s="59">
        <v>11.33</v>
      </c>
      <c r="P115" s="60">
        <v>0.27779999999999999</v>
      </c>
      <c r="Q115" s="61">
        <v>0.94658145423851436</v>
      </c>
      <c r="R115" s="51">
        <f t="shared" si="3"/>
        <v>1315.8534812492464</v>
      </c>
    </row>
    <row r="116" spans="1:18" ht="14" x14ac:dyDescent="0.15">
      <c r="A116" s="59">
        <v>48.939</v>
      </c>
      <c r="B116" s="59">
        <v>2.23</v>
      </c>
      <c r="C116" s="59">
        <v>10.875999999999999</v>
      </c>
      <c r="D116" s="59">
        <v>1.708</v>
      </c>
      <c r="E116" s="59">
        <v>9.8000000000000007</v>
      </c>
      <c r="F116" s="59">
        <v>0.35299999999999998</v>
      </c>
      <c r="G116" s="59">
        <f t="shared" si="2"/>
        <v>0.21393939393939393</v>
      </c>
      <c r="H116" s="59">
        <v>13.141999999999999</v>
      </c>
      <c r="I116" s="59">
        <v>10.112</v>
      </c>
      <c r="J116" s="59">
        <v>1.742</v>
      </c>
      <c r="K116" s="59">
        <v>0.41399999999999998</v>
      </c>
      <c r="L116" s="59">
        <v>0.27200000000000002</v>
      </c>
      <c r="M116" s="59">
        <v>0</v>
      </c>
      <c r="N116" s="59">
        <v>11.337</v>
      </c>
      <c r="O116" s="59">
        <v>11.33</v>
      </c>
      <c r="P116" s="60">
        <v>0.26479999999999998</v>
      </c>
      <c r="Q116" s="61">
        <v>0.82586640117574539</v>
      </c>
      <c r="R116" s="51">
        <f t="shared" si="3"/>
        <v>1094.3218728488123</v>
      </c>
    </row>
    <row r="117" spans="1:18" ht="14" x14ac:dyDescent="0.15">
      <c r="A117" s="59">
        <v>48.682000000000002</v>
      </c>
      <c r="B117" s="59">
        <v>2.2509999999999999</v>
      </c>
      <c r="C117" s="59">
        <v>11.664999999999999</v>
      </c>
      <c r="D117" s="59">
        <v>1.669</v>
      </c>
      <c r="E117" s="59">
        <v>9.8290000000000006</v>
      </c>
      <c r="F117" s="59">
        <v>0.32500000000000001</v>
      </c>
      <c r="G117" s="59">
        <f t="shared" si="2"/>
        <v>0.19696969696969699</v>
      </c>
      <c r="H117" s="59">
        <v>12.814</v>
      </c>
      <c r="I117" s="59">
        <v>9.9179999999999993</v>
      </c>
      <c r="J117" s="59">
        <v>1.74</v>
      </c>
      <c r="K117" s="59">
        <v>0.443</v>
      </c>
      <c r="L117" s="59">
        <v>0.22800000000000001</v>
      </c>
      <c r="M117" s="59">
        <v>0</v>
      </c>
      <c r="N117" s="59">
        <v>11.331</v>
      </c>
      <c r="O117" s="59">
        <v>11.33</v>
      </c>
      <c r="P117" s="60">
        <v>0.32469999999999999</v>
      </c>
      <c r="Q117" s="61">
        <v>0.8709144601831923</v>
      </c>
      <c r="R117" s="51">
        <f t="shared" si="3"/>
        <v>1415.0607698082986</v>
      </c>
    </row>
    <row r="118" spans="1:18" ht="14" x14ac:dyDescent="0.15">
      <c r="A118" s="59">
        <v>49.819000000000003</v>
      </c>
      <c r="B118" s="59">
        <v>2.5110000000000001</v>
      </c>
      <c r="C118" s="59">
        <v>12.587999999999999</v>
      </c>
      <c r="D118" s="59">
        <v>1.6830000000000001</v>
      </c>
      <c r="E118" s="59">
        <v>9.8170000000000002</v>
      </c>
      <c r="F118" s="59">
        <v>0.35</v>
      </c>
      <c r="G118" s="59">
        <f t="shared" si="2"/>
        <v>0.21212121212121213</v>
      </c>
      <c r="H118" s="59">
        <v>9.2859999999999996</v>
      </c>
      <c r="I118" s="59">
        <v>10.627000000000001</v>
      </c>
      <c r="J118" s="59">
        <v>2.0499999999999998</v>
      </c>
      <c r="K118" s="59">
        <v>0.51</v>
      </c>
      <c r="L118" s="59">
        <v>0.27900000000000003</v>
      </c>
      <c r="M118" s="59">
        <v>0</v>
      </c>
      <c r="N118" s="59">
        <v>11.332000000000001</v>
      </c>
      <c r="O118" s="59">
        <v>11.33</v>
      </c>
      <c r="P118" s="60">
        <v>0.26079999999999998</v>
      </c>
      <c r="Q118" s="61">
        <v>0.95937850992137763</v>
      </c>
      <c r="R118" s="51">
        <f t="shared" si="3"/>
        <v>1252.0304005990263</v>
      </c>
    </row>
    <row r="119" spans="1:18" ht="14" x14ac:dyDescent="0.15">
      <c r="A119" s="59">
        <v>49.448999999999998</v>
      </c>
      <c r="B119" s="59">
        <v>2.387</v>
      </c>
      <c r="C119" s="59">
        <v>12.151999999999999</v>
      </c>
      <c r="D119" s="59">
        <v>1.6859999999999999</v>
      </c>
      <c r="E119" s="59">
        <v>9.8230000000000004</v>
      </c>
      <c r="F119" s="59">
        <v>0.33100000000000002</v>
      </c>
      <c r="G119" s="59">
        <f t="shared" si="2"/>
        <v>0.20060606060606062</v>
      </c>
      <c r="H119" s="59">
        <v>10.69</v>
      </c>
      <c r="I119" s="59">
        <v>10.313000000000001</v>
      </c>
      <c r="J119" s="59">
        <v>1.966</v>
      </c>
      <c r="K119" s="59">
        <v>0.48899999999999999</v>
      </c>
      <c r="L119" s="59">
        <v>0.255</v>
      </c>
      <c r="M119" s="59">
        <v>0</v>
      </c>
      <c r="N119" s="59">
        <v>11.34</v>
      </c>
      <c r="O119" s="59">
        <v>11.33</v>
      </c>
      <c r="P119" s="60">
        <v>0.29360000000000003</v>
      </c>
      <c r="Q119" s="61">
        <v>0.91612301957129549</v>
      </c>
      <c r="R119" s="51">
        <f t="shared" si="3"/>
        <v>1345.9444876048465</v>
      </c>
    </row>
    <row r="120" spans="1:18" ht="14" x14ac:dyDescent="0.15">
      <c r="A120" s="59">
        <v>49.125999999999998</v>
      </c>
      <c r="B120" s="59">
        <v>2.6179999999999999</v>
      </c>
      <c r="C120" s="59">
        <v>13.612</v>
      </c>
      <c r="D120" s="59">
        <v>1.7170000000000001</v>
      </c>
      <c r="E120" s="59">
        <v>9.7729999999999997</v>
      </c>
      <c r="F120" s="59">
        <v>0.32500000000000001</v>
      </c>
      <c r="G120" s="59">
        <f t="shared" si="2"/>
        <v>0.19696969696969699</v>
      </c>
      <c r="H120" s="59">
        <v>7.6890000000000001</v>
      </c>
      <c r="I120" s="59">
        <v>11.66</v>
      </c>
      <c r="J120" s="59">
        <v>2.3220000000000001</v>
      </c>
      <c r="K120" s="59">
        <v>0.42599999999999999</v>
      </c>
      <c r="L120" s="59">
        <v>0.23799999999999999</v>
      </c>
      <c r="M120" s="59">
        <v>0</v>
      </c>
      <c r="N120" s="59">
        <v>11.318</v>
      </c>
      <c r="O120" s="59">
        <v>11.33</v>
      </c>
      <c r="P120" s="60">
        <v>0.31509999999999999</v>
      </c>
      <c r="Q120" s="61">
        <v>0.98770683567995232</v>
      </c>
      <c r="R120" s="51">
        <f t="shared" si="3"/>
        <v>1557.3770253094558</v>
      </c>
    </row>
    <row r="121" spans="1:18" ht="14" x14ac:dyDescent="0.15">
      <c r="A121" s="59">
        <v>50.273000000000003</v>
      </c>
      <c r="B121" s="59">
        <v>2.5939999999999999</v>
      </c>
      <c r="C121" s="59">
        <v>12.598000000000001</v>
      </c>
      <c r="D121" s="59">
        <v>1.724</v>
      </c>
      <c r="E121" s="59">
        <v>9.7919999999999998</v>
      </c>
      <c r="F121" s="59">
        <v>0.35399999999999998</v>
      </c>
      <c r="G121" s="59">
        <f t="shared" si="2"/>
        <v>0.21454545454545454</v>
      </c>
      <c r="H121" s="59">
        <v>8.0500000000000007</v>
      </c>
      <c r="I121" s="59">
        <v>11.087999999999999</v>
      </c>
      <c r="J121" s="59">
        <v>2.234</v>
      </c>
      <c r="K121" s="59">
        <v>0.53100000000000003</v>
      </c>
      <c r="L121" s="59">
        <v>0.28299999999999997</v>
      </c>
      <c r="M121" s="59">
        <v>0</v>
      </c>
      <c r="N121" s="59">
        <v>11.343</v>
      </c>
      <c r="O121" s="59">
        <v>11.33</v>
      </c>
      <c r="P121" s="60">
        <v>0.2954</v>
      </c>
      <c r="Q121" s="61">
        <v>0.95904524770327115</v>
      </c>
      <c r="R121" s="51">
        <f t="shared" si="3"/>
        <v>1417.6430387224175</v>
      </c>
    </row>
    <row r="122" spans="1:18" ht="14" x14ac:dyDescent="0.15">
      <c r="A122" s="59">
        <v>50.179000000000002</v>
      </c>
      <c r="B122" s="59">
        <v>2.6110000000000002</v>
      </c>
      <c r="C122" s="59">
        <v>12.653</v>
      </c>
      <c r="D122" s="59">
        <v>1.6819999999999999</v>
      </c>
      <c r="E122" s="59">
        <v>9.8279999999999994</v>
      </c>
      <c r="F122" s="59">
        <v>0.35199999999999998</v>
      </c>
      <c r="G122" s="59">
        <f t="shared" si="2"/>
        <v>0.21333333333333332</v>
      </c>
      <c r="H122" s="59">
        <v>8.24</v>
      </c>
      <c r="I122" s="59">
        <v>11.475</v>
      </c>
      <c r="J122" s="59">
        <v>1.7629999999999999</v>
      </c>
      <c r="K122" s="59">
        <v>0.52300000000000002</v>
      </c>
      <c r="L122" s="59">
        <v>0.22800000000000001</v>
      </c>
      <c r="M122" s="59">
        <v>0</v>
      </c>
      <c r="N122" s="59">
        <v>11.342000000000001</v>
      </c>
      <c r="O122" s="59">
        <v>11.33</v>
      </c>
      <c r="P122" s="60">
        <v>0.3125</v>
      </c>
      <c r="Q122" s="61">
        <v>0.93181818181818177</v>
      </c>
      <c r="R122" s="51">
        <f t="shared" si="3"/>
        <v>1457.1306818181818</v>
      </c>
    </row>
    <row r="123" spans="1:18" ht="14" x14ac:dyDescent="0.15">
      <c r="A123" s="59">
        <v>49.316000000000003</v>
      </c>
      <c r="B123" s="59">
        <v>2.63</v>
      </c>
      <c r="C123" s="59">
        <v>13.038</v>
      </c>
      <c r="D123" s="59">
        <v>1.73</v>
      </c>
      <c r="E123" s="59">
        <v>9.7769999999999992</v>
      </c>
      <c r="F123" s="59">
        <v>0.40400000000000003</v>
      </c>
      <c r="G123" s="59">
        <f t="shared" si="2"/>
        <v>0.24484848484848487</v>
      </c>
      <c r="H123" s="59">
        <v>8.06</v>
      </c>
      <c r="I123" s="59">
        <v>11.593</v>
      </c>
      <c r="J123" s="59">
        <v>2.2269999999999999</v>
      </c>
      <c r="K123" s="59">
        <v>0.44700000000000001</v>
      </c>
      <c r="L123" s="59">
        <v>0.30199999999999999</v>
      </c>
      <c r="M123" s="59">
        <v>0</v>
      </c>
      <c r="N123" s="59">
        <v>11.333</v>
      </c>
      <c r="O123" s="59">
        <v>11.33</v>
      </c>
      <c r="P123" s="60">
        <v>0.2944</v>
      </c>
      <c r="Q123" s="61">
        <v>0.95158740332436009</v>
      </c>
      <c r="R123" s="51">
        <f t="shared" si="3"/>
        <v>1401.8572470196127</v>
      </c>
    </row>
    <row r="124" spans="1:18" ht="14" x14ac:dyDescent="0.15">
      <c r="A124" s="59">
        <v>50.261000000000003</v>
      </c>
      <c r="B124" s="59">
        <v>2.5990000000000002</v>
      </c>
      <c r="C124" s="59">
        <v>12.673999999999999</v>
      </c>
      <c r="D124" s="59">
        <v>1.708</v>
      </c>
      <c r="E124" s="59">
        <v>9.7989999999999995</v>
      </c>
      <c r="F124" s="59">
        <v>0.34399999999999997</v>
      </c>
      <c r="G124" s="59">
        <f t="shared" si="2"/>
        <v>0.20848484848484847</v>
      </c>
      <c r="H124" s="59">
        <v>8.0500000000000007</v>
      </c>
      <c r="I124" s="59">
        <v>11.266</v>
      </c>
      <c r="J124" s="59">
        <v>2.1110000000000002</v>
      </c>
      <c r="K124" s="59">
        <v>0.47099999999999997</v>
      </c>
      <c r="L124" s="59">
        <v>0.247</v>
      </c>
      <c r="M124" s="59">
        <v>0</v>
      </c>
      <c r="N124" s="59">
        <v>11.336</v>
      </c>
      <c r="O124" s="59">
        <v>11.33</v>
      </c>
      <c r="P124" s="60">
        <v>0.32590000000000002</v>
      </c>
      <c r="Q124" s="61">
        <v>0.93763880252287479</v>
      </c>
      <c r="R124" s="51">
        <f t="shared" si="3"/>
        <v>1529.1047346539935</v>
      </c>
    </row>
    <row r="125" spans="1:18" ht="14" x14ac:dyDescent="0.15">
      <c r="A125" s="59">
        <v>50.094999999999999</v>
      </c>
      <c r="B125" s="59">
        <v>2.6160000000000001</v>
      </c>
      <c r="C125" s="59">
        <v>12.698</v>
      </c>
      <c r="D125" s="59">
        <v>1.714</v>
      </c>
      <c r="E125" s="59">
        <v>9.7910000000000004</v>
      </c>
      <c r="F125" s="59">
        <v>0.39800000000000002</v>
      </c>
      <c r="G125" s="59">
        <f t="shared" si="2"/>
        <v>0.24121212121212124</v>
      </c>
      <c r="H125" s="59">
        <v>8.2360000000000007</v>
      </c>
      <c r="I125" s="59">
        <v>10.95</v>
      </c>
      <c r="J125" s="59">
        <v>2.274</v>
      </c>
      <c r="K125" s="59">
        <v>0.48899999999999999</v>
      </c>
      <c r="L125" s="59">
        <v>0.255</v>
      </c>
      <c r="M125" s="59">
        <v>0</v>
      </c>
      <c r="N125" s="59">
        <v>11.333</v>
      </c>
      <c r="O125" s="59">
        <v>11.33</v>
      </c>
      <c r="P125" s="60">
        <v>0.29709999999999998</v>
      </c>
      <c r="Q125" s="61">
        <v>0.96708343965297272</v>
      </c>
      <c r="R125" s="51">
        <f t="shared" si="3"/>
        <v>1437.7517315641744</v>
      </c>
    </row>
    <row r="126" spans="1:18" ht="14" x14ac:dyDescent="0.15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9F7F3-FB18-467B-AF44-082ACE643626}">
  <dimension ref="A1:V79"/>
  <sheetViews>
    <sheetView workbookViewId="0">
      <selection activeCell="M47" sqref="M47"/>
    </sheetView>
  </sheetViews>
  <sheetFormatPr baseColWidth="10" defaultColWidth="8.83203125" defaultRowHeight="13" x14ac:dyDescent="0.15"/>
  <cols>
    <col min="1" max="1" width="9.83203125" style="34" customWidth="1"/>
    <col min="2" max="2" width="6.5" style="35" customWidth="1"/>
    <col min="3" max="3" width="9.83203125" style="34" customWidth="1"/>
    <col min="4" max="4" width="6.5" style="35" customWidth="1"/>
    <col min="5" max="5" width="9.83203125" style="34" customWidth="1"/>
    <col min="6" max="6" width="8.33203125" style="35" customWidth="1"/>
    <col min="7" max="7" width="9.83203125" style="34" customWidth="1"/>
    <col min="8" max="8" width="7.33203125" style="35" customWidth="1"/>
    <col min="9" max="9" width="9.83203125" style="34" customWidth="1"/>
    <col min="10" max="10" width="6.6640625" style="35" customWidth="1"/>
    <col min="11" max="11" width="9.83203125" style="34" customWidth="1"/>
    <col min="12" max="12" width="6" style="35" customWidth="1"/>
    <col min="13" max="13" width="9.83203125" style="34" customWidth="1"/>
    <col min="14" max="14" width="6.5" style="35" customWidth="1"/>
    <col min="15" max="15" width="9.83203125" style="34" customWidth="1"/>
    <col min="16" max="16" width="7.33203125" style="35" customWidth="1"/>
    <col min="17" max="17" width="9.83203125" style="34" customWidth="1"/>
    <col min="18" max="18" width="6.5" style="35" customWidth="1"/>
    <col min="19" max="19" width="9.83203125" style="34" customWidth="1"/>
    <col min="20" max="20" width="8" style="35" customWidth="1"/>
    <col min="21" max="21" width="41.83203125" style="39" customWidth="1"/>
    <col min="22" max="22" width="14.1640625" style="34" customWidth="1"/>
  </cols>
  <sheetData>
    <row r="1" spans="1:22" ht="27" thickBot="1" x14ac:dyDescent="0.2">
      <c r="A1" s="25" t="s">
        <v>6</v>
      </c>
      <c r="B1" s="26" t="s">
        <v>552</v>
      </c>
      <c r="C1" s="27" t="s">
        <v>7</v>
      </c>
      <c r="D1" s="26" t="s">
        <v>553</v>
      </c>
      <c r="E1" s="27" t="s">
        <v>8</v>
      </c>
      <c r="F1" s="26" t="s">
        <v>554</v>
      </c>
      <c r="G1" s="27" t="s">
        <v>551</v>
      </c>
      <c r="H1" s="26" t="s">
        <v>555</v>
      </c>
      <c r="I1" s="27" t="s">
        <v>12</v>
      </c>
      <c r="J1" s="26" t="s">
        <v>556</v>
      </c>
      <c r="K1" s="27" t="s">
        <v>11</v>
      </c>
      <c r="L1" s="26" t="s">
        <v>557</v>
      </c>
      <c r="M1" s="27" t="s">
        <v>13</v>
      </c>
      <c r="N1" s="26" t="s">
        <v>558</v>
      </c>
      <c r="O1" s="27" t="s">
        <v>14</v>
      </c>
      <c r="P1" s="26" t="s">
        <v>559</v>
      </c>
      <c r="Q1" s="27" t="s">
        <v>15</v>
      </c>
      <c r="R1" s="26" t="s">
        <v>560</v>
      </c>
      <c r="S1" s="27" t="s">
        <v>16</v>
      </c>
      <c r="T1" s="26" t="s">
        <v>561</v>
      </c>
      <c r="U1" s="36" t="s">
        <v>562</v>
      </c>
      <c r="V1" s="24"/>
    </row>
    <row r="2" spans="1:22" x14ac:dyDescent="0.15">
      <c r="A2" s="28">
        <v>50.105991519305213</v>
      </c>
      <c r="B2" s="30">
        <v>0.49085157101086652</v>
      </c>
      <c r="C2" s="29">
        <v>1.7985659891133752</v>
      </c>
      <c r="D2" s="30">
        <v>3.9590484193860895E-2</v>
      </c>
      <c r="E2" s="29">
        <v>11.723539758326737</v>
      </c>
      <c r="F2" s="30">
        <v>3.0106812129467354E-2</v>
      </c>
      <c r="G2" s="29">
        <v>11.544435697486156</v>
      </c>
      <c r="H2" s="30">
        <v>0.15099833281419453</v>
      </c>
      <c r="I2" s="29">
        <v>12.112852786932587</v>
      </c>
      <c r="J2" s="30">
        <v>2.245311069702546E-2</v>
      </c>
      <c r="K2" s="29">
        <v>0.12140947541574246</v>
      </c>
      <c r="L2" s="30">
        <v>1.612451383944017E-2</v>
      </c>
      <c r="M2" s="29">
        <v>9.9355093022039842</v>
      </c>
      <c r="N2" s="30">
        <v>7.712136062802126E-2</v>
      </c>
      <c r="O2" s="29">
        <v>2.0127884932560285</v>
      </c>
      <c r="P2" s="30">
        <v>4.1033310060065373E-2</v>
      </c>
      <c r="Q2" s="29">
        <v>0.29499492373742392</v>
      </c>
      <c r="R2" s="30">
        <v>1.3748164672051708E-2</v>
      </c>
      <c r="S2" s="29">
        <v>0.25536125201079724</v>
      </c>
      <c r="T2" s="30">
        <v>2.7885704080831068E-2</v>
      </c>
      <c r="U2" s="37" t="s">
        <v>575</v>
      </c>
      <c r="V2" s="29">
        <v>0.78600000000000003</v>
      </c>
    </row>
    <row r="3" spans="1:22" x14ac:dyDescent="0.15">
      <c r="A3" s="28">
        <v>50.910056719263366</v>
      </c>
      <c r="B3" s="30">
        <v>0.50652502742320604</v>
      </c>
      <c r="C3" s="29">
        <v>2.1665348482622666</v>
      </c>
      <c r="D3" s="30">
        <v>4.6665210750205785E-2</v>
      </c>
      <c r="E3" s="29">
        <v>13.858698250081536</v>
      </c>
      <c r="F3" s="30">
        <v>3.5627317819888364E-2</v>
      </c>
      <c r="G3" s="29">
        <v>11.560204470579579</v>
      </c>
      <c r="H3" s="30">
        <v>0.12277688561046102</v>
      </c>
      <c r="I3" s="29">
        <v>7.9431248686521405</v>
      </c>
      <c r="J3" s="30">
        <v>1.4956864412047639E-2</v>
      </c>
      <c r="K3" s="29">
        <v>0.15754792551050295</v>
      </c>
      <c r="L3" s="30">
        <v>1.6324328301770764E-2</v>
      </c>
      <c r="M3" s="29">
        <v>10.546177854475355</v>
      </c>
      <c r="N3" s="30">
        <v>8.5834603325125089E-2</v>
      </c>
      <c r="O3" s="29">
        <v>2.0491265216079428</v>
      </c>
      <c r="P3" s="30">
        <v>4.5737016243919688E-2</v>
      </c>
      <c r="Q3" s="29">
        <v>0.43150068770392525</v>
      </c>
      <c r="R3" s="30">
        <v>1.7133403631350293E-2</v>
      </c>
      <c r="S3" s="29">
        <v>0.25940215760805746</v>
      </c>
      <c r="T3" s="30">
        <v>3.1134614265828291E-2</v>
      </c>
      <c r="U3" s="37" t="s">
        <v>576</v>
      </c>
      <c r="V3" s="29">
        <v>0.78449999999999998</v>
      </c>
    </row>
    <row r="4" spans="1:22" x14ac:dyDescent="0.15">
      <c r="A4" s="28">
        <v>51.399839876637543</v>
      </c>
      <c r="B4" s="30">
        <v>0.50859062161295443</v>
      </c>
      <c r="C4" s="29">
        <v>2.3355355278294141</v>
      </c>
      <c r="D4" s="30">
        <v>4.8327601802504588E-2</v>
      </c>
      <c r="E4" s="29">
        <v>13.821594917055771</v>
      </c>
      <c r="F4" s="30">
        <v>3.6032621516866058E-2</v>
      </c>
      <c r="G4" s="29">
        <v>11.5382277085765</v>
      </c>
      <c r="H4" s="30">
        <v>0.11538458473130671</v>
      </c>
      <c r="I4" s="29">
        <v>7.0015903989353454</v>
      </c>
      <c r="J4" s="30">
        <v>1.3637907826758236E-2</v>
      </c>
      <c r="K4" s="29">
        <v>0.15650495805042466</v>
      </c>
      <c r="L4" s="30">
        <v>1.684525465479941E-2</v>
      </c>
      <c r="M4" s="29">
        <v>10.650363042713513</v>
      </c>
      <c r="N4" s="30">
        <v>8.7131259074221812E-2</v>
      </c>
      <c r="O4" s="29">
        <v>2.3004222359591266</v>
      </c>
      <c r="P4" s="30">
        <v>4.902866907277327E-2</v>
      </c>
      <c r="Q4" s="29">
        <v>0.41233037024823421</v>
      </c>
      <c r="R4" s="30">
        <v>1.6801184363467777E-2</v>
      </c>
      <c r="S4" s="29">
        <v>0.22974125252273875</v>
      </c>
      <c r="T4" s="30">
        <v>3.2684139290147428E-2</v>
      </c>
      <c r="U4" s="37" t="s">
        <v>577</v>
      </c>
      <c r="V4" s="29">
        <v>0.92549999999999999</v>
      </c>
    </row>
    <row r="5" spans="1:22" x14ac:dyDescent="0.15">
      <c r="A5" s="28">
        <v>48.551507451208941</v>
      </c>
      <c r="B5" s="30">
        <v>0.48671915189687942</v>
      </c>
      <c r="C5" s="29">
        <v>2.0422985171609036</v>
      </c>
      <c r="D5" s="30">
        <v>4.0506948789369362E-2</v>
      </c>
      <c r="E5" s="29">
        <v>12.450494055969617</v>
      </c>
      <c r="F5" s="30">
        <v>3.080949457114018E-2</v>
      </c>
      <c r="G5" s="29">
        <v>11.54726621054219</v>
      </c>
      <c r="H5" s="30">
        <v>0.14893086595046789</v>
      </c>
      <c r="I5" s="29">
        <v>12.60303920319736</v>
      </c>
      <c r="J5" s="30">
        <v>2.4193046115241715E-2</v>
      </c>
      <c r="K5" s="29">
        <v>0.11340527392588802</v>
      </c>
      <c r="L5" s="30">
        <v>1.6851229868469479E-2</v>
      </c>
      <c r="M5" s="29">
        <v>9.9846820379527426</v>
      </c>
      <c r="N5" s="30">
        <v>7.6802773316854769E-2</v>
      </c>
      <c r="O5" s="29">
        <v>2.0131945088082417</v>
      </c>
      <c r="P5" s="30">
        <v>4.0899858321497361E-2</v>
      </c>
      <c r="Q5" s="29">
        <v>0.38537721404903535</v>
      </c>
      <c r="R5" s="30">
        <v>1.4034282004023723E-2</v>
      </c>
      <c r="S5" s="29">
        <v>0.23885358579080837</v>
      </c>
      <c r="T5" s="30">
        <v>2.7727796213697573E-2</v>
      </c>
      <c r="U5" s="37" t="s">
        <v>578</v>
      </c>
      <c r="V5" s="29">
        <v>0.95699999999999996</v>
      </c>
    </row>
    <row r="6" spans="1:22" x14ac:dyDescent="0.15">
      <c r="A6" s="28">
        <v>49.502591976646137</v>
      </c>
      <c r="B6" s="30">
        <v>0.48878636556076505</v>
      </c>
      <c r="C6" s="29">
        <v>1.9532180885303483</v>
      </c>
      <c r="D6" s="30">
        <v>4.1049514974884786E-2</v>
      </c>
      <c r="E6" s="29">
        <v>12.209368642248899</v>
      </c>
      <c r="F6" s="30">
        <v>3.0981395023393005E-2</v>
      </c>
      <c r="G6" s="29">
        <v>11.538733669376509</v>
      </c>
      <c r="H6" s="30">
        <v>0.14484976230846761</v>
      </c>
      <c r="I6" s="29">
        <v>12.512834729449942</v>
      </c>
      <c r="J6" s="30">
        <v>2.1496049038416645E-2</v>
      </c>
      <c r="K6" s="29">
        <v>0.11586886965857998</v>
      </c>
      <c r="L6" s="30">
        <v>1.7378824153481433E-2</v>
      </c>
      <c r="M6" s="29">
        <v>9.5504038021617443</v>
      </c>
      <c r="N6" s="30">
        <v>7.6085010962605906E-2</v>
      </c>
      <c r="O6" s="29">
        <v>1.8895152900600467</v>
      </c>
      <c r="P6" s="30">
        <v>4.0163442529751854E-2</v>
      </c>
      <c r="Q6" s="29">
        <v>0.4022806643557626</v>
      </c>
      <c r="R6" s="30">
        <v>1.4782647801147646E-2</v>
      </c>
      <c r="S6" s="29">
        <v>0.21267705945990437</v>
      </c>
      <c r="T6" s="30">
        <v>2.6800499647839846E-2</v>
      </c>
      <c r="U6" s="37" t="s">
        <v>579</v>
      </c>
      <c r="V6" s="29">
        <v>0.77</v>
      </c>
    </row>
    <row r="7" spans="1:22" x14ac:dyDescent="0.15">
      <c r="A7" s="28">
        <v>52.192517379883355</v>
      </c>
      <c r="B7" s="30">
        <v>0.51575340861866237</v>
      </c>
      <c r="C7" s="29">
        <v>3.1604318346079747</v>
      </c>
      <c r="D7" s="30">
        <v>5.6101773625676546E-2</v>
      </c>
      <c r="E7" s="29">
        <v>12.892159656727674</v>
      </c>
      <c r="F7" s="30">
        <v>3.5745188629032851E-2</v>
      </c>
      <c r="G7" s="29">
        <v>12.536629842744224</v>
      </c>
      <c r="H7" s="30">
        <v>0.11494973805740451</v>
      </c>
      <c r="I7" s="29">
        <v>5.7974481128354114</v>
      </c>
      <c r="J7" s="30">
        <v>1.1526138491052594E-2</v>
      </c>
      <c r="K7" s="29">
        <v>0.18458723585465217</v>
      </c>
      <c r="L7" s="30">
        <v>1.5862319525933682E-2</v>
      </c>
      <c r="M7" s="29">
        <v>9.5446242519397266</v>
      </c>
      <c r="N7" s="30">
        <v>8.4328377852010319E-2</v>
      </c>
      <c r="O7" s="29">
        <v>2.4658775181066859</v>
      </c>
      <c r="P7" s="30">
        <v>5.2334798093289052E-2</v>
      </c>
      <c r="Q7" s="29">
        <v>0.6168101956912585</v>
      </c>
      <c r="R7" s="30">
        <v>2.0340303099232356E-2</v>
      </c>
      <c r="S7" s="29">
        <v>0.44918869842618842</v>
      </c>
      <c r="T7" s="30">
        <v>3.8764849917570537E-2</v>
      </c>
      <c r="U7" s="37" t="s">
        <v>580</v>
      </c>
      <c r="V7" s="29">
        <v>0.80200000000000005</v>
      </c>
    </row>
    <row r="8" spans="1:22" x14ac:dyDescent="0.15">
      <c r="A8" s="28">
        <v>51.914866885487108</v>
      </c>
      <c r="B8" s="30">
        <v>0.51950688143638102</v>
      </c>
      <c r="C8" s="29">
        <v>2.9675055309359508</v>
      </c>
      <c r="D8" s="30">
        <v>5.5158212305718893E-2</v>
      </c>
      <c r="E8" s="29">
        <v>13.397500212275157</v>
      </c>
      <c r="F8" s="30">
        <v>3.6740232782126403E-2</v>
      </c>
      <c r="G8" s="29">
        <v>12.287377015994002</v>
      </c>
      <c r="H8" s="30">
        <v>0.11499215504680083</v>
      </c>
      <c r="I8" s="29">
        <v>5.4631245181746353</v>
      </c>
      <c r="J8" s="30">
        <v>1.1312546571029399E-2</v>
      </c>
      <c r="K8" s="29">
        <v>0.20808457768403016</v>
      </c>
      <c r="L8" s="30">
        <v>1.6236444235987274E-2</v>
      </c>
      <c r="M8" s="29">
        <v>10.280910207603867</v>
      </c>
      <c r="N8" s="30">
        <v>8.8304279909640751E-2</v>
      </c>
      <c r="O8" s="29">
        <v>2.4904250107067689</v>
      </c>
      <c r="P8" s="30">
        <v>5.3103332503300432E-2</v>
      </c>
      <c r="Q8" s="29">
        <v>0.5361571562485784</v>
      </c>
      <c r="R8" s="30">
        <v>1.9988743020681373E-2</v>
      </c>
      <c r="S8" s="29">
        <v>0.31381924571625786</v>
      </c>
      <c r="T8" s="30">
        <v>3.6989874492575313E-2</v>
      </c>
      <c r="U8" s="37" t="s">
        <v>581</v>
      </c>
      <c r="V8" s="29" t="s">
        <v>574</v>
      </c>
    </row>
    <row r="9" spans="1:22" x14ac:dyDescent="0.15">
      <c r="A9" s="28">
        <v>51.795195604321421</v>
      </c>
      <c r="B9" s="30">
        <v>0.51674927160128181</v>
      </c>
      <c r="C9" s="29">
        <v>2.9371345513815004</v>
      </c>
      <c r="D9" s="30">
        <v>5.4742020055193262E-2</v>
      </c>
      <c r="E9" s="29">
        <v>13.412955193355543</v>
      </c>
      <c r="F9" s="30">
        <v>3.6613746179958426E-2</v>
      </c>
      <c r="G9" s="29">
        <v>12.334334760512352</v>
      </c>
      <c r="H9" s="30">
        <v>0.11461335214832809</v>
      </c>
      <c r="I9" s="29">
        <v>6.0030409072009583</v>
      </c>
      <c r="J9" s="30">
        <v>1.1763859113796358E-2</v>
      </c>
      <c r="K9" s="29">
        <v>0.1980245293254484</v>
      </c>
      <c r="L9" s="30">
        <v>1.6444372766696816E-2</v>
      </c>
      <c r="M9" s="29">
        <v>9.8084255118190544</v>
      </c>
      <c r="N9" s="30">
        <v>8.5869332407046695E-2</v>
      </c>
      <c r="O9" s="29">
        <v>2.4252999631424617</v>
      </c>
      <c r="P9" s="30">
        <v>5.213230776773984E-2</v>
      </c>
      <c r="Q9" s="29">
        <v>0.56327361081037619</v>
      </c>
      <c r="R9" s="30">
        <v>1.9147190870193877E-2</v>
      </c>
      <c r="S9" s="29">
        <v>0.36540868256039993</v>
      </c>
      <c r="T9" s="30">
        <v>3.8242941899406337E-2</v>
      </c>
      <c r="U9" s="37" t="s">
        <v>582</v>
      </c>
      <c r="V9" s="29" t="s">
        <v>574</v>
      </c>
    </row>
    <row r="10" spans="1:22" x14ac:dyDescent="0.15">
      <c r="A10" s="28">
        <v>49.909267434931436</v>
      </c>
      <c r="B10" s="30">
        <v>0.4923129994609533</v>
      </c>
      <c r="C10" s="29">
        <v>2.1373344251156854</v>
      </c>
      <c r="D10" s="30">
        <v>4.3620217081858488E-2</v>
      </c>
      <c r="E10" s="29">
        <v>12.662452164570345</v>
      </c>
      <c r="F10" s="30">
        <v>3.2376370690546621E-2</v>
      </c>
      <c r="G10" s="29">
        <v>11.542609339016774</v>
      </c>
      <c r="H10" s="30">
        <v>0.13225868058925591</v>
      </c>
      <c r="I10" s="29">
        <v>10.380621890996135</v>
      </c>
      <c r="J10" s="30">
        <v>1.8911935992111311E-2</v>
      </c>
      <c r="K10" s="29">
        <v>0.17359570682864486</v>
      </c>
      <c r="L10" s="30">
        <v>1.5254444984436242E-2</v>
      </c>
      <c r="M10" s="29">
        <v>10.067547552669328</v>
      </c>
      <c r="N10" s="30">
        <v>7.991427963905412E-2</v>
      </c>
      <c r="O10" s="29">
        <v>2.3018991414156726</v>
      </c>
      <c r="P10" s="30">
        <v>4.5480002476434293E-2</v>
      </c>
      <c r="Q10" s="29">
        <v>0.46860806409813388</v>
      </c>
      <c r="R10" s="30">
        <v>1.6308076099485567E-2</v>
      </c>
      <c r="S10" s="29">
        <v>0.24684707444998055</v>
      </c>
      <c r="T10" s="30">
        <v>2.8664375979280642E-2</v>
      </c>
      <c r="U10" s="37" t="s">
        <v>583</v>
      </c>
      <c r="V10" s="29" t="s">
        <v>574</v>
      </c>
    </row>
    <row r="11" spans="1:22" x14ac:dyDescent="0.15">
      <c r="A11" s="28">
        <v>49.451017258098219</v>
      </c>
      <c r="B11" s="30">
        <v>0.49379263832056719</v>
      </c>
      <c r="C11" s="29">
        <v>2.2720412182874896</v>
      </c>
      <c r="D11" s="30">
        <v>4.5528752360897519E-2</v>
      </c>
      <c r="E11" s="29">
        <v>13.089325799524614</v>
      </c>
      <c r="F11" s="30">
        <v>3.3435635608821665E-2</v>
      </c>
      <c r="G11" s="29">
        <v>11.546866721561775</v>
      </c>
      <c r="H11" s="30">
        <v>0.12910320744043788</v>
      </c>
      <c r="I11" s="29">
        <v>9.7745942871555442</v>
      </c>
      <c r="J11" s="30">
        <v>1.7968929915906651E-2</v>
      </c>
      <c r="K11" s="29">
        <v>0.1485256626795709</v>
      </c>
      <c r="L11" s="30">
        <v>1.5421716607345207E-2</v>
      </c>
      <c r="M11" s="29">
        <v>10.452995286962235</v>
      </c>
      <c r="N11" s="30">
        <v>8.2525979670755367E-2</v>
      </c>
      <c r="O11" s="29">
        <v>2.4607089519615393</v>
      </c>
      <c r="P11" s="30">
        <v>4.7764821466525442E-2</v>
      </c>
      <c r="Q11" s="29">
        <v>0.44457343626385076</v>
      </c>
      <c r="R11" s="30">
        <v>1.6084266807933484E-2</v>
      </c>
      <c r="S11" s="29">
        <v>0.25289504726521533</v>
      </c>
      <c r="T11" s="30">
        <v>3.2427214540534974E-2</v>
      </c>
      <c r="U11" s="37" t="s">
        <v>584</v>
      </c>
      <c r="V11" s="29">
        <v>0.85099999999999998</v>
      </c>
    </row>
    <row r="12" spans="1:22" x14ac:dyDescent="0.15">
      <c r="A12" s="28">
        <v>49.961977289885262</v>
      </c>
      <c r="B12" s="30">
        <v>0.4926735591962399</v>
      </c>
      <c r="C12" s="29">
        <v>2.2478725195200151</v>
      </c>
      <c r="D12" s="30">
        <v>4.4991842839948955E-2</v>
      </c>
      <c r="E12" s="29">
        <v>12.966411082463445</v>
      </c>
      <c r="F12" s="30">
        <v>3.2962561933284451E-2</v>
      </c>
      <c r="G12" s="29">
        <v>11.542423981928222</v>
      </c>
      <c r="H12" s="30">
        <v>0.13196222490058898</v>
      </c>
      <c r="I12" s="29">
        <v>9.7993192647825662</v>
      </c>
      <c r="J12" s="30">
        <v>1.7786744397506837E-2</v>
      </c>
      <c r="K12" s="29">
        <v>0.12242877115242938</v>
      </c>
      <c r="L12" s="30">
        <v>1.5768458438119446E-2</v>
      </c>
      <c r="M12" s="29">
        <v>10.236851594474855</v>
      </c>
      <c r="N12" s="30">
        <v>8.1058359612014297E-2</v>
      </c>
      <c r="O12" s="29">
        <v>2.3050728470256585</v>
      </c>
      <c r="P12" s="30">
        <v>4.578197384391542E-2</v>
      </c>
      <c r="Q12" s="29">
        <v>0.45960964908043167</v>
      </c>
      <c r="R12" s="30">
        <v>1.7110945508510115E-2</v>
      </c>
      <c r="S12" s="29">
        <v>0.25087862941071598</v>
      </c>
      <c r="T12" s="30">
        <v>2.9897206266875025E-2</v>
      </c>
      <c r="U12" s="37" t="s">
        <v>585</v>
      </c>
      <c r="V12" s="29">
        <v>0.871</v>
      </c>
    </row>
    <row r="13" spans="1:22" x14ac:dyDescent="0.15">
      <c r="A13" s="28">
        <v>51.475487645747585</v>
      </c>
      <c r="B13" s="30">
        <v>0.52137462416871905</v>
      </c>
      <c r="C13" s="29">
        <v>3.0538185774819535</v>
      </c>
      <c r="D13" s="30">
        <v>5.6443423385741195E-2</v>
      </c>
      <c r="E13" s="29">
        <v>14.121354333354063</v>
      </c>
      <c r="F13" s="30">
        <v>3.7927839536239009E-2</v>
      </c>
      <c r="G13" s="29">
        <v>11.199997734597353</v>
      </c>
      <c r="H13" s="30">
        <v>0.11074703359940413</v>
      </c>
      <c r="I13" s="29">
        <v>5.7893232792724421</v>
      </c>
      <c r="J13" s="30">
        <v>1.1681754406148727E-2</v>
      </c>
      <c r="K13" s="29">
        <v>0.18175308907338947</v>
      </c>
      <c r="L13" s="30">
        <v>1.6499018342123983E-2</v>
      </c>
      <c r="M13" s="29">
        <v>10.01781307185075</v>
      </c>
      <c r="N13" s="30">
        <v>8.7808636028039788E-2</v>
      </c>
      <c r="O13" s="29">
        <v>3.0964188955209222</v>
      </c>
      <c r="P13" s="30">
        <v>5.8820192623094548E-2</v>
      </c>
      <c r="Q13" s="29">
        <v>0.66866170232751831</v>
      </c>
      <c r="R13" s="30">
        <v>2.1314795352753834E-2</v>
      </c>
      <c r="S13" s="29">
        <v>0.35805350279564846</v>
      </c>
      <c r="T13" s="30">
        <v>3.8439191846129636E-2</v>
      </c>
      <c r="U13" s="37" t="s">
        <v>586</v>
      </c>
      <c r="V13" s="29">
        <v>0.86499999999999999</v>
      </c>
    </row>
    <row r="14" spans="1:22" x14ac:dyDescent="0.15">
      <c r="A14" s="28">
        <v>52.082327538306487</v>
      </c>
      <c r="B14" s="30">
        <v>0.52043942862910753</v>
      </c>
      <c r="C14" s="29">
        <v>3.0895577470755278</v>
      </c>
      <c r="D14" s="30">
        <v>5.5845301057263708E-2</v>
      </c>
      <c r="E14" s="29">
        <v>13.937943378862908</v>
      </c>
      <c r="F14" s="30">
        <v>3.7398289674164954E-2</v>
      </c>
      <c r="G14" s="29">
        <v>11.461617638898817</v>
      </c>
      <c r="H14" s="30">
        <v>0.11116565639879768</v>
      </c>
      <c r="I14" s="29">
        <v>5.790597309640229</v>
      </c>
      <c r="J14" s="30">
        <v>1.159451299309263E-2</v>
      </c>
      <c r="K14" s="29">
        <v>0.16047304139830676</v>
      </c>
      <c r="L14" s="30">
        <v>1.5873880923991526E-2</v>
      </c>
      <c r="M14" s="29">
        <v>9.541354410567978</v>
      </c>
      <c r="N14" s="30">
        <v>8.5130253976146028E-2</v>
      </c>
      <c r="O14" s="29">
        <v>2.8258137698079944</v>
      </c>
      <c r="P14" s="30">
        <v>5.5981631430912213E-2</v>
      </c>
      <c r="Q14" s="29">
        <v>0.74282129218243842</v>
      </c>
      <c r="R14" s="30">
        <v>2.2119583874350215E-2</v>
      </c>
      <c r="S14" s="29">
        <v>0.33708703892636299</v>
      </c>
      <c r="T14" s="30">
        <v>3.7349243913041015E-2</v>
      </c>
      <c r="U14" s="37" t="s">
        <v>587</v>
      </c>
      <c r="V14" s="29" t="s">
        <v>588</v>
      </c>
    </row>
    <row r="15" spans="1:22" x14ac:dyDescent="0.15">
      <c r="A15" s="28">
        <v>51.674798421755177</v>
      </c>
      <c r="B15" s="30">
        <v>0.51609248939957175</v>
      </c>
      <c r="C15" s="29">
        <v>2.3744333686445565</v>
      </c>
      <c r="D15" s="30">
        <v>4.9421218691630936E-2</v>
      </c>
      <c r="E15" s="29">
        <v>13.833960839980271</v>
      </c>
      <c r="F15" s="30">
        <v>3.6840252735692657E-2</v>
      </c>
      <c r="G15" s="29">
        <v>11.59606993989202</v>
      </c>
      <c r="H15" s="30">
        <v>0.1142320732529805</v>
      </c>
      <c r="I15" s="29">
        <v>6.5143809354969164</v>
      </c>
      <c r="J15" s="30">
        <v>1.2621873637762697E-2</v>
      </c>
      <c r="K15" s="29">
        <v>0.16264617578030369</v>
      </c>
      <c r="L15" s="30">
        <v>1.6333294925753604E-2</v>
      </c>
      <c r="M15" s="29">
        <v>10.589571228658967</v>
      </c>
      <c r="N15" s="30">
        <v>8.8633387487471973E-2</v>
      </c>
      <c r="O15" s="29">
        <v>2.4166008956987093</v>
      </c>
      <c r="P15" s="30">
        <v>5.1377539192778487E-2</v>
      </c>
      <c r="Q15" s="29">
        <v>0.47739664557737277</v>
      </c>
      <c r="R15" s="30">
        <v>1.8426842163982781E-2</v>
      </c>
      <c r="S15" s="29">
        <v>0.27057496526414709</v>
      </c>
      <c r="T15" s="30">
        <v>3.4101239309653614E-2</v>
      </c>
      <c r="U15" s="37" t="s">
        <v>589</v>
      </c>
      <c r="V15" s="29" t="s">
        <v>588</v>
      </c>
    </row>
    <row r="16" spans="1:22" x14ac:dyDescent="0.15">
      <c r="A16" s="28">
        <v>51.161303127915566</v>
      </c>
      <c r="B16" s="30">
        <v>0.51887282019300685</v>
      </c>
      <c r="C16" s="29">
        <v>2.4403156595370001</v>
      </c>
      <c r="D16" s="30">
        <v>4.9903723142833797E-2</v>
      </c>
      <c r="E16" s="29">
        <v>14.114882142636676</v>
      </c>
      <c r="F16" s="30">
        <v>3.7680807070340008E-2</v>
      </c>
      <c r="G16" s="29">
        <v>11.544068319488071</v>
      </c>
      <c r="H16" s="30">
        <v>0.11383536505437269</v>
      </c>
      <c r="I16" s="29">
        <v>6.4827472354133882</v>
      </c>
      <c r="J16" s="30">
        <v>1.2508979410508965E-2</v>
      </c>
      <c r="K16" s="29">
        <v>0.19173191730628014</v>
      </c>
      <c r="L16" s="30">
        <v>1.6845700466871887E-2</v>
      </c>
      <c r="M16" s="29">
        <v>10.925707790374624</v>
      </c>
      <c r="N16" s="30">
        <v>9.1054302439592588E-2</v>
      </c>
      <c r="O16" s="29">
        <v>2.4182313549258052</v>
      </c>
      <c r="P16" s="30">
        <v>5.2065972010365544E-2</v>
      </c>
      <c r="Q16" s="29">
        <v>0.39651365097372077</v>
      </c>
      <c r="R16" s="30">
        <v>1.7730742325131481E-2</v>
      </c>
      <c r="S16" s="29">
        <v>0.21783155002860102</v>
      </c>
      <c r="T16" s="30">
        <v>3.3186854478407392E-2</v>
      </c>
      <c r="U16" s="37" t="s">
        <v>590</v>
      </c>
      <c r="V16" s="29">
        <v>0.98199999999999998</v>
      </c>
    </row>
    <row r="17" spans="1:22" x14ac:dyDescent="0.15">
      <c r="A17" s="28">
        <v>49.200171743082265</v>
      </c>
      <c r="B17" s="30">
        <v>0.48869152987594811</v>
      </c>
      <c r="C17" s="29">
        <v>1.9710562391721882</v>
      </c>
      <c r="D17" s="30">
        <v>4.0548568952250258E-2</v>
      </c>
      <c r="E17" s="29">
        <v>11.864454553144347</v>
      </c>
      <c r="F17" s="30">
        <v>3.0286274493266045E-2</v>
      </c>
      <c r="G17" s="29">
        <v>11.541462131254555</v>
      </c>
      <c r="H17" s="30">
        <v>0.141904585196201</v>
      </c>
      <c r="I17" s="29">
        <v>12.705037315702258</v>
      </c>
      <c r="J17" s="30">
        <v>2.3542561196369442E-2</v>
      </c>
      <c r="K17" s="29">
        <v>0.12036984666700386</v>
      </c>
      <c r="L17" s="30">
        <v>1.6614048086213209E-2</v>
      </c>
      <c r="M17" s="29">
        <v>9.7900808622496456</v>
      </c>
      <c r="N17" s="30">
        <v>7.6409329411260163E-2</v>
      </c>
      <c r="O17" s="29">
        <v>2.0242195881167815</v>
      </c>
      <c r="P17" s="30">
        <v>4.1253595205820004E-2</v>
      </c>
      <c r="Q17" s="29">
        <v>0.42330062744563024</v>
      </c>
      <c r="R17" s="30">
        <v>1.5274887801501056E-2</v>
      </c>
      <c r="S17" s="29">
        <v>0.23572428305621587</v>
      </c>
      <c r="T17" s="30">
        <v>2.9358045108953349E-2</v>
      </c>
      <c r="U17" s="37" t="s">
        <v>591</v>
      </c>
      <c r="V17" s="29">
        <v>0.98899999999999999</v>
      </c>
    </row>
    <row r="18" spans="1:22" x14ac:dyDescent="0.15">
      <c r="A18" s="28">
        <v>49.566317053884887</v>
      </c>
      <c r="B18" s="30">
        <v>0.47952586469561564</v>
      </c>
      <c r="C18" s="29">
        <v>1.8687426371349725</v>
      </c>
      <c r="D18" s="30">
        <v>3.7404378876366183E-2</v>
      </c>
      <c r="E18" s="29">
        <v>10.996793092276276</v>
      </c>
      <c r="F18" s="30">
        <v>2.7521014264454299E-2</v>
      </c>
      <c r="G18" s="29">
        <v>11.538457624779168</v>
      </c>
      <c r="H18" s="30">
        <v>0.161269560684251</v>
      </c>
      <c r="I18" s="29">
        <v>14.781423242523326</v>
      </c>
      <c r="J18" s="30">
        <v>2.7120364108452095E-2</v>
      </c>
      <c r="K18" s="29">
        <v>0.11635756624136168</v>
      </c>
      <c r="L18" s="30">
        <v>1.5495453453928377E-2</v>
      </c>
      <c r="M18" s="29">
        <v>8.6405523758887028</v>
      </c>
      <c r="N18" s="30">
        <v>6.8234010084774296E-2</v>
      </c>
      <c r="O18" s="29">
        <v>1.8236039260930652</v>
      </c>
      <c r="P18" s="30">
        <v>3.6842817200036022E-2</v>
      </c>
      <c r="Q18" s="29">
        <v>0.35709735846486862</v>
      </c>
      <c r="R18" s="30">
        <v>1.2770729991835711E-2</v>
      </c>
      <c r="S18" s="29">
        <v>0.21465964806596036</v>
      </c>
      <c r="T18" s="30">
        <v>2.2974807472851671E-2</v>
      </c>
      <c r="U18" s="37" t="s">
        <v>592</v>
      </c>
      <c r="V18" s="29">
        <v>0.78300000000000003</v>
      </c>
    </row>
    <row r="19" spans="1:22" x14ac:dyDescent="0.15">
      <c r="A19" s="28">
        <v>49.024848701590898</v>
      </c>
      <c r="B19" s="30">
        <v>0.48893511131919332</v>
      </c>
      <c r="C19" s="29">
        <v>2.4101041052235233</v>
      </c>
      <c r="D19" s="30">
        <v>4.534538570854902E-2</v>
      </c>
      <c r="E19" s="29">
        <v>11.944162892831315</v>
      </c>
      <c r="F19" s="30">
        <v>3.0682046197476154E-2</v>
      </c>
      <c r="G19" s="29">
        <v>11.54682682885608</v>
      </c>
      <c r="H19" s="30">
        <v>0.14378686108633035</v>
      </c>
      <c r="I19" s="29">
        <v>11.980284353192699</v>
      </c>
      <c r="J19" s="30">
        <v>2.2209650148166286E-2</v>
      </c>
      <c r="K19" s="29">
        <v>0.12140824177021077</v>
      </c>
      <c r="L19" s="30">
        <v>1.6473155876349278E-2</v>
      </c>
      <c r="M19" s="29">
        <v>10.195282187000924</v>
      </c>
      <c r="N19" s="30">
        <v>7.8656398167068389E-2</v>
      </c>
      <c r="O19" s="29">
        <v>1.965609467998702</v>
      </c>
      <c r="P19" s="30">
        <v>4.1223941128549574E-2</v>
      </c>
      <c r="Q19" s="29">
        <v>0.48763971487869784</v>
      </c>
      <c r="R19" s="30">
        <v>1.6585504454511298E-2</v>
      </c>
      <c r="S19" s="29">
        <v>0.2237523794608017</v>
      </c>
      <c r="T19" s="30">
        <v>2.9672250545055838E-2</v>
      </c>
      <c r="U19" s="37" t="s">
        <v>593</v>
      </c>
      <c r="V19" s="29">
        <v>0.71299999999999997</v>
      </c>
    </row>
    <row r="20" spans="1:22" x14ac:dyDescent="0.15">
      <c r="A20" s="28">
        <v>48.431687475628294</v>
      </c>
      <c r="B20" s="30">
        <v>0.48601198381792998</v>
      </c>
      <c r="C20" s="29">
        <v>3.0659189420097372</v>
      </c>
      <c r="D20" s="30">
        <v>5.0542593534713125E-2</v>
      </c>
      <c r="E20" s="29">
        <v>11.729949041223119</v>
      </c>
      <c r="F20" s="30">
        <v>3.0532001658890067E-2</v>
      </c>
      <c r="G20" s="29">
        <v>11.5423420902559</v>
      </c>
      <c r="H20" s="30">
        <v>0.14260448229090261</v>
      </c>
      <c r="I20" s="29">
        <v>11.951666346911651</v>
      </c>
      <c r="J20" s="30">
        <v>2.1644706787583939E-2</v>
      </c>
      <c r="K20" s="29">
        <v>9.7314835528450438E-2</v>
      </c>
      <c r="L20" s="30">
        <v>1.8584408770539237E-2</v>
      </c>
      <c r="M20" s="29">
        <v>10.309353091653161</v>
      </c>
      <c r="N20" s="30">
        <v>7.9144594404028573E-2</v>
      </c>
      <c r="O20" s="29">
        <v>2.1188549756297665</v>
      </c>
      <c r="P20" s="30">
        <v>4.2818245118521447E-2</v>
      </c>
      <c r="Q20" s="29">
        <v>0.33006784421505353</v>
      </c>
      <c r="R20" s="30">
        <v>1.4462252662126784E-2</v>
      </c>
      <c r="S20" s="29">
        <v>0.3059899467647153</v>
      </c>
      <c r="T20" s="30">
        <v>3.0545936019702524E-2</v>
      </c>
      <c r="U20" s="37" t="s">
        <v>594</v>
      </c>
      <c r="V20" s="29">
        <v>0.79700000000000004</v>
      </c>
    </row>
    <row r="21" spans="1:22" x14ac:dyDescent="0.15">
      <c r="A21" s="28">
        <v>48.688987223364315</v>
      </c>
      <c r="B21" s="30">
        <v>0.48830672176184303</v>
      </c>
      <c r="C21" s="29">
        <v>2.2120869681972746</v>
      </c>
      <c r="D21" s="30">
        <v>4.2499499667793317E-2</v>
      </c>
      <c r="E21" s="29">
        <v>11.958311410844221</v>
      </c>
      <c r="F21" s="30">
        <v>3.0441675443015591E-2</v>
      </c>
      <c r="G21" s="29">
        <v>11.542980796407184</v>
      </c>
      <c r="H21" s="30">
        <v>0.15251971385908741</v>
      </c>
      <c r="I21" s="29">
        <v>12.407751302795415</v>
      </c>
      <c r="J21" s="30">
        <v>2.3072585780087158E-2</v>
      </c>
      <c r="K21" s="29">
        <v>0.12841139770034066</v>
      </c>
      <c r="L21" s="30">
        <v>1.5979129095637288E-2</v>
      </c>
      <c r="M21" s="29">
        <v>9.9699411745780111</v>
      </c>
      <c r="N21" s="30">
        <v>7.7264451918274205E-2</v>
      </c>
      <c r="O21" s="29">
        <v>2.2612444563794356</v>
      </c>
      <c r="P21" s="30">
        <v>4.3450490602667771E-2</v>
      </c>
      <c r="Q21" s="29">
        <v>0.48354916946534521</v>
      </c>
      <c r="R21" s="30">
        <v>1.5749679998655758E-2</v>
      </c>
      <c r="S21" s="29">
        <v>0.23374887237640132</v>
      </c>
      <c r="T21" s="30">
        <v>2.7106454236257002E-2</v>
      </c>
      <c r="U21" s="37" t="s">
        <v>595</v>
      </c>
      <c r="V21" s="29">
        <v>0.80400000000000005</v>
      </c>
    </row>
    <row r="22" spans="1:22" x14ac:dyDescent="0.15">
      <c r="A22" s="28">
        <v>49.932585724031391</v>
      </c>
      <c r="B22" s="30">
        <v>0.4831472001398705</v>
      </c>
      <c r="C22" s="29">
        <v>1.8276831880092697</v>
      </c>
      <c r="D22" s="30">
        <v>3.9136180104842495E-2</v>
      </c>
      <c r="E22" s="29">
        <v>12.056084818433471</v>
      </c>
      <c r="F22" s="30">
        <v>2.9572611572831829E-2</v>
      </c>
      <c r="G22" s="29">
        <v>11.548227765642316</v>
      </c>
      <c r="H22" s="30">
        <v>0.15960459148061273</v>
      </c>
      <c r="I22" s="29">
        <v>12.52680607882685</v>
      </c>
      <c r="J22" s="30">
        <v>2.4090050234070338E-2</v>
      </c>
      <c r="K22" s="29">
        <v>0.12947343835979999</v>
      </c>
      <c r="L22" s="30">
        <v>1.5227112138619357E-2</v>
      </c>
      <c r="M22" s="29">
        <v>9.5107775340888736</v>
      </c>
      <c r="N22" s="30">
        <v>7.3480742767247337E-2</v>
      </c>
      <c r="O22" s="29">
        <v>1.9451125855914138</v>
      </c>
      <c r="P22" s="30">
        <v>3.9125550636654176E-2</v>
      </c>
      <c r="Q22" s="29">
        <v>0.27299825762686508</v>
      </c>
      <c r="R22" s="30">
        <v>1.2571023767201882E-2</v>
      </c>
      <c r="S22" s="29">
        <v>0.19772300276651628</v>
      </c>
      <c r="T22" s="30">
        <v>2.6048621553469153E-2</v>
      </c>
      <c r="U22" s="37" t="s">
        <v>596</v>
      </c>
      <c r="V22" s="29">
        <v>0.77800000000000002</v>
      </c>
    </row>
    <row r="23" spans="1:22" x14ac:dyDescent="0.15">
      <c r="A23" s="28">
        <v>49.795560703518163</v>
      </c>
      <c r="B23" s="30">
        <v>0.4805824338613312</v>
      </c>
      <c r="C23" s="29">
        <v>2.0089618227121164</v>
      </c>
      <c r="D23" s="30">
        <v>3.9092388108155074E-2</v>
      </c>
      <c r="E23" s="29">
        <v>11.360368029432504</v>
      </c>
      <c r="F23" s="30">
        <v>2.8476807332017868E-2</v>
      </c>
      <c r="G23" s="29">
        <v>11.544004399840254</v>
      </c>
      <c r="H23" s="30">
        <v>0.15727897914474359</v>
      </c>
      <c r="I23" s="29">
        <v>13.267978631318483</v>
      </c>
      <c r="J23" s="30">
        <v>2.4656150050151763E-2</v>
      </c>
      <c r="K23" s="29">
        <v>0.12041729207065634</v>
      </c>
      <c r="L23" s="30">
        <v>1.5220504883146817E-2</v>
      </c>
      <c r="M23" s="29">
        <v>9.4316844014341576</v>
      </c>
      <c r="N23" s="30">
        <v>7.2438354342022795E-2</v>
      </c>
      <c r="O23" s="29">
        <v>1.8704819368308621</v>
      </c>
      <c r="P23" s="30">
        <v>3.8057760727729137E-2</v>
      </c>
      <c r="Q23" s="29">
        <v>0.31408843681762866</v>
      </c>
      <c r="R23" s="30">
        <v>1.3072517784568112E-2</v>
      </c>
      <c r="S23" s="29">
        <v>0.21675112572718142</v>
      </c>
      <c r="T23" s="30">
        <v>2.4591498969377366E-2</v>
      </c>
      <c r="U23" s="37" t="s">
        <v>597</v>
      </c>
      <c r="V23" s="29">
        <v>0.75800000000000001</v>
      </c>
    </row>
    <row r="24" spans="1:22" x14ac:dyDescent="0.15">
      <c r="A24" s="28">
        <v>49.821295379882955</v>
      </c>
      <c r="B24" s="30">
        <v>0.47892962142204587</v>
      </c>
      <c r="C24" s="29">
        <v>2.0248806508620758</v>
      </c>
      <c r="D24" s="30">
        <v>3.9486792596331165E-2</v>
      </c>
      <c r="E24" s="29">
        <v>11.470978989422822</v>
      </c>
      <c r="F24" s="30">
        <v>2.8461907778345803E-2</v>
      </c>
      <c r="G24" s="29">
        <v>11.540214254491939</v>
      </c>
      <c r="H24" s="30">
        <v>0.15922033606922528</v>
      </c>
      <c r="I24" s="29">
        <v>13.272099290858613</v>
      </c>
      <c r="J24" s="30">
        <v>2.4651066338869154E-2</v>
      </c>
      <c r="K24" s="29">
        <v>0.11238187953248391</v>
      </c>
      <c r="L24" s="30">
        <v>1.6061618222782598E-2</v>
      </c>
      <c r="M24" s="29">
        <v>9.0868776879122688</v>
      </c>
      <c r="N24" s="30">
        <v>7.0808222220180059E-2</v>
      </c>
      <c r="O24" s="29">
        <v>2.0509693014678314</v>
      </c>
      <c r="P24" s="30">
        <v>3.9472134788329297E-2</v>
      </c>
      <c r="Q24" s="29">
        <v>0.23881149400652829</v>
      </c>
      <c r="R24" s="30">
        <v>1.2352381240591272E-2</v>
      </c>
      <c r="S24" s="29">
        <v>0.30603993979828203</v>
      </c>
      <c r="T24" s="30">
        <v>3.0110626992879395E-2</v>
      </c>
      <c r="U24" s="37" t="s">
        <v>598</v>
      </c>
      <c r="V24" s="29">
        <v>0.746</v>
      </c>
    </row>
    <row r="25" spans="1:22" x14ac:dyDescent="0.15">
      <c r="A25" s="28">
        <v>54.486009532314441</v>
      </c>
      <c r="B25" s="30">
        <v>0.53061745243139746</v>
      </c>
      <c r="C25" s="29">
        <v>1.6021248400025303</v>
      </c>
      <c r="D25" s="30">
        <v>4.2539778964231181E-2</v>
      </c>
      <c r="E25" s="29">
        <v>14.141018257009277</v>
      </c>
      <c r="F25" s="30">
        <v>3.7432265197581548E-2</v>
      </c>
      <c r="G25" s="29">
        <v>10.498485354913342</v>
      </c>
      <c r="H25" s="30">
        <v>0.10655962635237042</v>
      </c>
      <c r="I25" s="29">
        <v>5.890777812222967</v>
      </c>
      <c r="J25" s="30">
        <v>1.1592638380007944E-2</v>
      </c>
      <c r="K25" s="29">
        <v>0.16240430675685891</v>
      </c>
      <c r="L25" s="30">
        <v>1.5559940389943976E-2</v>
      </c>
      <c r="M25" s="29">
        <v>10.48486270883796</v>
      </c>
      <c r="N25" s="30">
        <v>8.9178790072767092E-2</v>
      </c>
      <c r="O25" s="29">
        <v>1.9332568011721334</v>
      </c>
      <c r="P25" s="30">
        <v>4.6700911243194761E-2</v>
      </c>
      <c r="Q25" s="29">
        <v>0.51452632565171308</v>
      </c>
      <c r="R25" s="30">
        <v>1.8880594972422178E-2</v>
      </c>
      <c r="S25" s="29">
        <v>0.22609322700539539</v>
      </c>
      <c r="T25" s="30">
        <v>3.2775604652837138E-2</v>
      </c>
      <c r="U25" s="37" t="s">
        <v>599</v>
      </c>
      <c r="V25" s="29">
        <v>0.74399999999999999</v>
      </c>
    </row>
    <row r="26" spans="1:22" x14ac:dyDescent="0.15">
      <c r="A26" s="28">
        <v>49.227335415344392</v>
      </c>
      <c r="B26" s="30">
        <v>0.49114358680566172</v>
      </c>
      <c r="C26" s="29">
        <v>2.3201695984073925</v>
      </c>
      <c r="D26" s="30">
        <v>4.4668369142458801E-2</v>
      </c>
      <c r="E26" s="29">
        <v>12.199957529341985</v>
      </c>
      <c r="F26" s="30">
        <v>3.1208833355385025E-2</v>
      </c>
      <c r="G26" s="29">
        <v>11.545653646054088</v>
      </c>
      <c r="H26" s="30">
        <v>0.14407474815301516</v>
      </c>
      <c r="I26" s="29">
        <v>11.533611243294189</v>
      </c>
      <c r="J26" s="30">
        <v>2.1436254520674148E-2</v>
      </c>
      <c r="K26" s="29">
        <v>0.11440282621904964</v>
      </c>
      <c r="L26" s="30">
        <v>1.6333062693641279E-2</v>
      </c>
      <c r="M26" s="29">
        <v>10.072466375092993</v>
      </c>
      <c r="N26" s="30">
        <v>7.8743822554555754E-2</v>
      </c>
      <c r="O26" s="29">
        <v>2.1656254296553432</v>
      </c>
      <c r="P26" s="30">
        <v>4.3375961418195767E-2</v>
      </c>
      <c r="Q26" s="29">
        <v>0.47667844257937342</v>
      </c>
      <c r="R26" s="30">
        <v>1.6431868601219129E-2</v>
      </c>
      <c r="S26" s="29">
        <v>0.25891165933784915</v>
      </c>
      <c r="T26" s="30">
        <v>2.8235093185770468E-2</v>
      </c>
      <c r="U26" s="37" t="s">
        <v>600</v>
      </c>
      <c r="V26" s="29" t="s">
        <v>601</v>
      </c>
    </row>
    <row r="27" spans="1:22" x14ac:dyDescent="0.15">
      <c r="A27" s="28">
        <v>49.483584804926245</v>
      </c>
      <c r="B27" s="30">
        <v>0.49005523892125852</v>
      </c>
      <c r="C27" s="29">
        <v>2.0995773128872472</v>
      </c>
      <c r="D27" s="30">
        <v>4.1789566920245193E-2</v>
      </c>
      <c r="E27" s="29">
        <v>12.452942303205047</v>
      </c>
      <c r="F27" s="30">
        <v>3.0989271450948788E-2</v>
      </c>
      <c r="G27" s="29">
        <v>11.541653488624922</v>
      </c>
      <c r="H27" s="30">
        <v>0.15166771432867124</v>
      </c>
      <c r="I27" s="29">
        <v>12.027406557189659</v>
      </c>
      <c r="J27" s="30">
        <v>2.2511215756829597E-2</v>
      </c>
      <c r="K27" s="29">
        <v>0.11441291284376011</v>
      </c>
      <c r="L27" s="30">
        <v>1.6425575419501577E-2</v>
      </c>
      <c r="M27" s="29">
        <v>9.4511087741200779</v>
      </c>
      <c r="N27" s="30">
        <v>7.5245475060595701E-2</v>
      </c>
      <c r="O27" s="29">
        <v>2.1989358950936699</v>
      </c>
      <c r="P27" s="30">
        <v>4.2831972832582048E-2</v>
      </c>
      <c r="Q27" s="29">
        <v>0.3372170062763456</v>
      </c>
      <c r="R27" s="30">
        <v>1.4195082435801512E-2</v>
      </c>
      <c r="S27" s="29">
        <v>0.22782220364503109</v>
      </c>
      <c r="T27" s="30">
        <v>2.9577473232623452E-2</v>
      </c>
      <c r="U27" s="37" t="s">
        <v>602</v>
      </c>
      <c r="V27" s="29">
        <v>0.80600000000000005</v>
      </c>
    </row>
    <row r="28" spans="1:22" x14ac:dyDescent="0.15">
      <c r="A28" s="28">
        <v>51.636965955764644</v>
      </c>
      <c r="B28" s="30">
        <v>0.51426080586801304</v>
      </c>
      <c r="C28" s="29">
        <v>2.6489520107057731</v>
      </c>
      <c r="D28" s="30">
        <v>5.2252962467981015E-2</v>
      </c>
      <c r="E28" s="29">
        <v>14.602576675950438</v>
      </c>
      <c r="F28" s="30">
        <v>3.7881420309683583E-2</v>
      </c>
      <c r="G28" s="29">
        <v>10.864645373273433</v>
      </c>
      <c r="H28" s="30">
        <v>0.10739701951480789</v>
      </c>
      <c r="I28" s="29">
        <v>6.5983339428595649</v>
      </c>
      <c r="J28" s="30">
        <v>1.2212856294838769E-2</v>
      </c>
      <c r="K28" s="29">
        <v>0.18358614212063445</v>
      </c>
      <c r="L28" s="30">
        <v>1.6104213104050479E-2</v>
      </c>
      <c r="M28" s="29">
        <v>10.422853277434967</v>
      </c>
      <c r="N28" s="30">
        <v>8.8049137631787386E-2</v>
      </c>
      <c r="O28" s="29">
        <v>2.3385809925569605</v>
      </c>
      <c r="P28" s="30">
        <v>5.0646180839607584E-2</v>
      </c>
      <c r="Q28" s="29">
        <v>0.42426928547984594</v>
      </c>
      <c r="R28" s="30">
        <v>1.7553590136657502E-2</v>
      </c>
      <c r="S28" s="29">
        <v>0.24893153859116826</v>
      </c>
      <c r="T28" s="30">
        <v>3.0144364665697521E-2</v>
      </c>
      <c r="U28" s="37" t="s">
        <v>603</v>
      </c>
      <c r="V28" s="29">
        <v>0.78300000000000003</v>
      </c>
    </row>
    <row r="29" spans="1:22" x14ac:dyDescent="0.15">
      <c r="A29" s="28">
        <v>51.545227282744989</v>
      </c>
      <c r="B29" s="30">
        <v>0.5127775909837482</v>
      </c>
      <c r="C29" s="29">
        <v>2.6040649626346841</v>
      </c>
      <c r="D29" s="30">
        <v>5.1576891869431339E-2</v>
      </c>
      <c r="E29" s="29">
        <v>13.804355166225729</v>
      </c>
      <c r="F29" s="30">
        <v>3.6400290007165638E-2</v>
      </c>
      <c r="G29" s="29">
        <v>11.545624955767735</v>
      </c>
      <c r="H29" s="30">
        <v>0.11305291226688476</v>
      </c>
      <c r="I29" s="29">
        <v>6.164827654410022</v>
      </c>
      <c r="J29" s="30">
        <v>1.30720238549641E-2</v>
      </c>
      <c r="K29" s="29">
        <v>0.22386526085872577</v>
      </c>
      <c r="L29" s="30">
        <v>1.6898178191081799E-2</v>
      </c>
      <c r="M29" s="29">
        <v>10.75356356196713</v>
      </c>
      <c r="N29" s="30">
        <v>8.8467094104684327E-2</v>
      </c>
      <c r="O29" s="29">
        <v>2.5307817158064916</v>
      </c>
      <c r="P29" s="30">
        <v>5.2095888541705049E-2</v>
      </c>
      <c r="Q29" s="29">
        <v>0.43769172078208268</v>
      </c>
      <c r="R29" s="30">
        <v>1.7963130835929143E-2</v>
      </c>
      <c r="S29" s="29">
        <v>0.29212910721923407</v>
      </c>
      <c r="T29" s="30">
        <v>3.4278721570212146E-2</v>
      </c>
      <c r="U29" s="37" t="s">
        <v>604</v>
      </c>
      <c r="V29" s="29" t="s">
        <v>605</v>
      </c>
    </row>
    <row r="30" spans="1:22" x14ac:dyDescent="0.15">
      <c r="A30" s="28">
        <v>52.216179707464271</v>
      </c>
      <c r="B30" s="30">
        <v>0.51632037305076872</v>
      </c>
      <c r="C30" s="29">
        <v>2.7779743576475289</v>
      </c>
      <c r="D30" s="30">
        <v>5.3472950612921517E-2</v>
      </c>
      <c r="E30" s="29">
        <v>13.172919637672553</v>
      </c>
      <c r="F30" s="30">
        <v>3.6081680721156133E-2</v>
      </c>
      <c r="G30" s="29">
        <v>12.681604201345625</v>
      </c>
      <c r="H30" s="30">
        <v>0.11568755387864943</v>
      </c>
      <c r="I30" s="29">
        <v>5.8074525666047103</v>
      </c>
      <c r="J30" s="30">
        <v>1.1550035888040447E-2</v>
      </c>
      <c r="K30" s="29">
        <v>0.17655121891449699</v>
      </c>
      <c r="L30" s="30">
        <v>1.5881753173063031E-2</v>
      </c>
      <c r="M30" s="29">
        <v>9.7443727679742747</v>
      </c>
      <c r="N30" s="30">
        <v>8.5150909101760153E-2</v>
      </c>
      <c r="O30" s="29">
        <v>2.4053134010839066</v>
      </c>
      <c r="P30" s="30">
        <v>5.176907926884871E-2</v>
      </c>
      <c r="Q30" s="29">
        <v>0.58563338476883364</v>
      </c>
      <c r="R30" s="30">
        <v>1.9777073656997417E-2</v>
      </c>
      <c r="S30" s="29">
        <v>0.28805619817607803</v>
      </c>
      <c r="T30" s="30">
        <v>3.3812612654304394E-2</v>
      </c>
      <c r="U30" s="37" t="s">
        <v>606</v>
      </c>
      <c r="V30" s="29">
        <v>0.97199999999999998</v>
      </c>
    </row>
    <row r="31" spans="1:22" x14ac:dyDescent="0.15">
      <c r="A31" s="28">
        <v>51.507187309819336</v>
      </c>
      <c r="B31" s="30">
        <v>0.51527790184743261</v>
      </c>
      <c r="C31" s="29">
        <v>2.2568151302474151</v>
      </c>
      <c r="D31" s="30">
        <v>4.8075352949069512E-2</v>
      </c>
      <c r="E31" s="29">
        <v>13.792875033126883</v>
      </c>
      <c r="F31" s="30">
        <v>3.6730564141967223E-2</v>
      </c>
      <c r="G31" s="29">
        <v>11.551118722698735</v>
      </c>
      <c r="H31" s="30">
        <v>0.11142532551239435</v>
      </c>
      <c r="I31" s="29">
        <v>6.2825396285980082</v>
      </c>
      <c r="J31" s="30">
        <v>1.2812297191581348E-2</v>
      </c>
      <c r="K31" s="29">
        <v>0.13352153573083014</v>
      </c>
      <c r="L31" s="30">
        <v>1.6005894095733265E-2</v>
      </c>
      <c r="M31" s="29">
        <v>11.473816780959831</v>
      </c>
      <c r="N31" s="30">
        <v>9.2109047401518096E-2</v>
      </c>
      <c r="O31" s="29">
        <v>2.1754975032233754</v>
      </c>
      <c r="P31" s="30">
        <v>4.9156671383834102E-2</v>
      </c>
      <c r="Q31" s="29">
        <v>0.42365479758203251</v>
      </c>
      <c r="R31" s="30">
        <v>1.7782655935627265E-2</v>
      </c>
      <c r="S31" s="29">
        <v>0.30519208167046885</v>
      </c>
      <c r="T31" s="30">
        <v>3.5790790993740891E-2</v>
      </c>
      <c r="U31" s="37" t="s">
        <v>607</v>
      </c>
      <c r="V31" s="29" t="s">
        <v>574</v>
      </c>
    </row>
    <row r="32" spans="1:22" x14ac:dyDescent="0.15">
      <c r="A32" s="28">
        <v>51.978633311862573</v>
      </c>
      <c r="B32" s="30">
        <v>0.51702522811709961</v>
      </c>
      <c r="C32" s="29">
        <v>2.5896970868338762</v>
      </c>
      <c r="D32" s="30">
        <v>5.1305783835809339E-2</v>
      </c>
      <c r="E32" s="29">
        <v>13.443338404638027</v>
      </c>
      <c r="F32" s="30">
        <v>3.626286761297489E-2</v>
      </c>
      <c r="G32" s="29">
        <v>11.650625615070078</v>
      </c>
      <c r="H32" s="30">
        <v>0.1143214143291067</v>
      </c>
      <c r="I32" s="29">
        <v>6.3256864500880177</v>
      </c>
      <c r="J32" s="30">
        <v>1.2406885118880134E-2</v>
      </c>
      <c r="K32" s="29">
        <v>0.17264647245559175</v>
      </c>
      <c r="L32" s="30">
        <v>1.5819164654924736E-2</v>
      </c>
      <c r="M32" s="29">
        <v>10.21223959746041</v>
      </c>
      <c r="N32" s="30">
        <v>8.6911979950958645E-2</v>
      </c>
      <c r="O32" s="29">
        <v>2.7633473178502568</v>
      </c>
      <c r="P32" s="30">
        <v>5.4657075603955586E-2</v>
      </c>
      <c r="Q32" s="29">
        <v>0.46172893796262915</v>
      </c>
      <c r="R32" s="30">
        <v>1.8024096995202986E-2</v>
      </c>
      <c r="S32" s="29">
        <v>0.28506743126388401</v>
      </c>
      <c r="T32" s="30">
        <v>3.0247079794254415E-2</v>
      </c>
      <c r="U32" s="37" t="s">
        <v>608</v>
      </c>
      <c r="V32" s="29">
        <v>0.98299999999999998</v>
      </c>
    </row>
    <row r="33" spans="1:22" x14ac:dyDescent="0.15">
      <c r="A33" s="28">
        <v>49.175989437632865</v>
      </c>
      <c r="B33" s="30">
        <v>0.48483247274424934</v>
      </c>
      <c r="C33" s="29">
        <v>2.3405194695417499</v>
      </c>
      <c r="D33" s="30">
        <v>4.3381996471850245E-2</v>
      </c>
      <c r="E33" s="29">
        <v>12.079809229640896</v>
      </c>
      <c r="F33" s="30">
        <v>3.03890552809153E-2</v>
      </c>
      <c r="G33" s="29">
        <v>11.543084876359782</v>
      </c>
      <c r="H33" s="30">
        <v>0.14415235255295622</v>
      </c>
      <c r="I33" s="29">
        <v>12.126960714882411</v>
      </c>
      <c r="J33" s="30">
        <v>2.2405166268781002E-2</v>
      </c>
      <c r="K33" s="29">
        <v>0.11336420919769298</v>
      </c>
      <c r="L33" s="30">
        <v>1.803239130024023E-2</v>
      </c>
      <c r="M33" s="29">
        <v>9.9138505778017851</v>
      </c>
      <c r="N33" s="30">
        <v>7.6553961053739156E-2</v>
      </c>
      <c r="O33" s="29">
        <v>1.9151528792778396</v>
      </c>
      <c r="P33" s="30">
        <v>4.0104258868517602E-2</v>
      </c>
      <c r="Q33" s="29">
        <v>0.44342460588832117</v>
      </c>
      <c r="R33" s="30">
        <v>1.5104904459900948E-2</v>
      </c>
      <c r="S33" s="29">
        <v>0.23776387238808169</v>
      </c>
      <c r="T33" s="30">
        <v>2.8773232780916095E-2</v>
      </c>
      <c r="U33" s="37" t="s">
        <v>609</v>
      </c>
      <c r="V33" s="29">
        <v>0.98099999999999998</v>
      </c>
    </row>
    <row r="34" spans="1:22" x14ac:dyDescent="0.15">
      <c r="A34" s="28">
        <v>49.085685169438868</v>
      </c>
      <c r="B34" s="30">
        <v>0.4850873202595728</v>
      </c>
      <c r="C34" s="29">
        <v>2.3236064762886137</v>
      </c>
      <c r="D34" s="30">
        <v>4.3489548252808215E-2</v>
      </c>
      <c r="E34" s="29">
        <v>12.061484049197633</v>
      </c>
      <c r="F34" s="30">
        <v>3.0238864200381414E-2</v>
      </c>
      <c r="G34" s="29">
        <v>11.542786057729062</v>
      </c>
      <c r="H34" s="30">
        <v>0.14507319800935617</v>
      </c>
      <c r="I34" s="29">
        <v>12.098605568896541</v>
      </c>
      <c r="J34" s="30">
        <v>2.3401727821638137E-2</v>
      </c>
      <c r="K34" s="29">
        <v>9.8321862986305769E-2</v>
      </c>
      <c r="L34" s="30">
        <v>1.7465010844120481E-2</v>
      </c>
      <c r="M34" s="29">
        <v>10.026823455970813</v>
      </c>
      <c r="N34" s="30">
        <v>7.6754330873110982E-2</v>
      </c>
      <c r="O34" s="29">
        <v>2.0256310343811363</v>
      </c>
      <c r="P34" s="30">
        <v>4.1065820523112209E-2</v>
      </c>
      <c r="Q34" s="29">
        <v>0.461510785445925</v>
      </c>
      <c r="R34" s="30">
        <v>1.5555636383161802E-2</v>
      </c>
      <c r="S34" s="29">
        <v>0.17256490238412847</v>
      </c>
      <c r="T34" s="30">
        <v>2.4257275763234554E-2</v>
      </c>
      <c r="U34" s="37" t="s">
        <v>610</v>
      </c>
      <c r="V34" s="29">
        <v>0.79</v>
      </c>
    </row>
    <row r="35" spans="1:22" x14ac:dyDescent="0.15">
      <c r="A35" s="28">
        <v>48.858048459087655</v>
      </c>
      <c r="B35" s="30">
        <v>0.48061808843349901</v>
      </c>
      <c r="C35" s="29">
        <v>2.1993396082209702</v>
      </c>
      <c r="D35" s="30">
        <v>4.1378815256990976E-2</v>
      </c>
      <c r="E35" s="29">
        <v>11.587670225978092</v>
      </c>
      <c r="F35" s="30">
        <v>2.9319123205769772E-2</v>
      </c>
      <c r="G35" s="29">
        <v>11.544526246437263</v>
      </c>
      <c r="H35" s="30">
        <v>0.14828482182498806</v>
      </c>
      <c r="I35" s="29">
        <v>12.932157030273759</v>
      </c>
      <c r="J35" s="30">
        <v>2.3469149256970512E-2</v>
      </c>
      <c r="K35" s="29">
        <v>0.11237501647844371</v>
      </c>
      <c r="L35" s="30">
        <v>1.5714072804279652E-2</v>
      </c>
      <c r="M35" s="29">
        <v>9.9461923067036846</v>
      </c>
      <c r="N35" s="30">
        <v>7.5495379160957513E-2</v>
      </c>
      <c r="O35" s="29">
        <v>2.0980014237180882</v>
      </c>
      <c r="P35" s="30">
        <v>4.1028096241946192E-2</v>
      </c>
      <c r="Q35" s="29">
        <v>0.37023554536201547</v>
      </c>
      <c r="R35" s="30">
        <v>1.3868838411488418E-2</v>
      </c>
      <c r="S35" s="29">
        <v>0.25485048379932773</v>
      </c>
      <c r="T35" s="30">
        <v>2.6508273072387078E-2</v>
      </c>
      <c r="U35" s="37" t="s">
        <v>611</v>
      </c>
      <c r="V35" s="29">
        <v>0.78</v>
      </c>
    </row>
    <row r="36" spans="1:22" x14ac:dyDescent="0.15">
      <c r="A36" s="28">
        <v>49.0300995256368</v>
      </c>
      <c r="B36" s="30">
        <v>0.18233975317937409</v>
      </c>
      <c r="C36" s="29">
        <v>1.932697817423894</v>
      </c>
      <c r="D36" s="30">
        <v>2.278544428362813E-2</v>
      </c>
      <c r="E36" s="29">
        <v>11.752770056721046</v>
      </c>
      <c r="F36" s="30">
        <v>7.0875608701708823E-2</v>
      </c>
      <c r="G36" s="29">
        <v>11.545498127716613</v>
      </c>
      <c r="H36" s="30">
        <v>0.24836271479909502</v>
      </c>
      <c r="I36" s="29">
        <v>13.691992172152343</v>
      </c>
      <c r="J36" s="30">
        <v>3.8961042945585521E-2</v>
      </c>
      <c r="K36" s="29">
        <v>0.11492801874579894</v>
      </c>
      <c r="L36" s="30">
        <v>6.1507521856432913E-3</v>
      </c>
      <c r="M36" s="29">
        <v>9.5350106032813731</v>
      </c>
      <c r="N36" s="30">
        <v>1.7985270725280441E-2</v>
      </c>
      <c r="O36" s="29">
        <v>1.8523987650250824</v>
      </c>
      <c r="P36" s="30">
        <v>3.6652951263860048E-2</v>
      </c>
      <c r="Q36" s="29">
        <v>0.32521116221518653</v>
      </c>
      <c r="R36" s="30">
        <v>1.2169304126743616E-2</v>
      </c>
      <c r="S36" s="29">
        <v>0.17565417712240011</v>
      </c>
      <c r="T36" s="30">
        <v>5.2805773516155854E-3</v>
      </c>
      <c r="U36" s="37" t="s">
        <v>612</v>
      </c>
      <c r="V36" s="29">
        <v>0.77</v>
      </c>
    </row>
    <row r="37" spans="1:22" x14ac:dyDescent="0.15">
      <c r="A37" s="28">
        <v>50.496886455942203</v>
      </c>
      <c r="B37" s="30">
        <v>0.18859324669133015</v>
      </c>
      <c r="C37" s="29">
        <v>1.9891648406176581</v>
      </c>
      <c r="D37" s="30">
        <v>2.646146204176858E-2</v>
      </c>
      <c r="E37" s="29">
        <v>14.218213066110172</v>
      </c>
      <c r="F37" s="30">
        <v>8.6032985441726051E-2</v>
      </c>
      <c r="G37" s="29">
        <v>11.551608130933017</v>
      </c>
      <c r="H37" s="30">
        <v>0.18966469874097611</v>
      </c>
      <c r="I37" s="29">
        <v>7.9727172017490782</v>
      </c>
      <c r="J37" s="30">
        <v>2.5358104059055135E-2</v>
      </c>
      <c r="K37" s="29">
        <v>0.16760369746879358</v>
      </c>
      <c r="L37" s="30">
        <v>6.3585490745710913E-3</v>
      </c>
      <c r="M37" s="29">
        <v>10.533942566661421</v>
      </c>
      <c r="N37" s="30">
        <v>2.1614386073681241E-2</v>
      </c>
      <c r="O37" s="29">
        <v>2.3464517645631102</v>
      </c>
      <c r="P37" s="30">
        <v>4.5869143029209053E-2</v>
      </c>
      <c r="Q37" s="29">
        <v>0.39542429223176451</v>
      </c>
      <c r="R37" s="30">
        <v>1.4294311367173726E-2</v>
      </c>
      <c r="S37" s="29">
        <v>0.22079529007865023</v>
      </c>
      <c r="T37" s="30">
        <v>6.9645016758928492E-3</v>
      </c>
      <c r="U37" s="37" t="s">
        <v>613</v>
      </c>
      <c r="V37" s="29">
        <v>0.746</v>
      </c>
    </row>
    <row r="38" spans="1:22" x14ac:dyDescent="0.15">
      <c r="A38" s="28">
        <v>51.236449270824927</v>
      </c>
      <c r="B38" s="30">
        <v>0.18978441937956989</v>
      </c>
      <c r="C38" s="29">
        <v>1.8200850858789814</v>
      </c>
      <c r="D38" s="30">
        <v>2.5174870882352308E-2</v>
      </c>
      <c r="E38" s="29">
        <v>14.121972919503383</v>
      </c>
      <c r="F38" s="30">
        <v>8.6077943975707352E-2</v>
      </c>
      <c r="G38" s="29">
        <v>11.570038949120388</v>
      </c>
      <c r="H38" s="30">
        <v>0.19053771542190437</v>
      </c>
      <c r="I38" s="29">
        <v>7.9429195805154453</v>
      </c>
      <c r="J38" s="30">
        <v>2.3522320904130051E-2</v>
      </c>
      <c r="K38" s="29">
        <v>0.14857837435746787</v>
      </c>
      <c r="L38" s="30">
        <v>6.0218963705456078E-3</v>
      </c>
      <c r="M38" s="29">
        <v>10.046106704021494</v>
      </c>
      <c r="N38" s="30">
        <v>2.0506113004248674E-2</v>
      </c>
      <c r="O38" s="29">
        <v>2.4716213355951755</v>
      </c>
      <c r="P38" s="30">
        <v>4.7051019555057562E-2</v>
      </c>
      <c r="Q38" s="29">
        <v>0.33430134230430275</v>
      </c>
      <c r="R38" s="30">
        <v>1.3951364488251235E-2</v>
      </c>
      <c r="S38" s="29">
        <v>0.23190273294983163</v>
      </c>
      <c r="T38" s="30">
        <v>6.7228834184889143E-3</v>
      </c>
      <c r="U38" s="37" t="s">
        <v>614</v>
      </c>
      <c r="V38" s="29">
        <v>0.91900000000000004</v>
      </c>
    </row>
    <row r="39" spans="1:22" x14ac:dyDescent="0.15">
      <c r="A39" s="28">
        <v>48.597176413441382</v>
      </c>
      <c r="B39" s="30">
        <v>0.18109276117293002</v>
      </c>
      <c r="C39" s="29">
        <v>1.8219550599608225</v>
      </c>
      <c r="D39" s="30">
        <v>2.2899606562129589E-2</v>
      </c>
      <c r="E39" s="29">
        <v>12.221299212449956</v>
      </c>
      <c r="F39" s="30">
        <v>7.2458066516245742E-2</v>
      </c>
      <c r="G39" s="29">
        <v>11.545404564758623</v>
      </c>
      <c r="H39" s="30">
        <v>0.23550547139285938</v>
      </c>
      <c r="I39" s="29">
        <v>13.386427179739693</v>
      </c>
      <c r="J39" s="30">
        <v>3.9561577565643699E-2</v>
      </c>
      <c r="K39" s="29">
        <v>0.12644799645004881</v>
      </c>
      <c r="L39" s="30">
        <v>6.0789242053378711E-3</v>
      </c>
      <c r="M39" s="29">
        <v>9.630620618515028</v>
      </c>
      <c r="N39" s="30">
        <v>1.8912709076845995E-2</v>
      </c>
      <c r="O39" s="29">
        <v>2.0542781645496029</v>
      </c>
      <c r="P39" s="30">
        <v>3.8581911777947231E-2</v>
      </c>
      <c r="Q39" s="29">
        <v>0.36579598973049843</v>
      </c>
      <c r="R39" s="30">
        <v>1.2864935220024709E-2</v>
      </c>
      <c r="S39" s="29">
        <v>0.18264710598340383</v>
      </c>
      <c r="T39" s="30">
        <v>5.6111565370479434E-3</v>
      </c>
      <c r="U39" s="37" t="s">
        <v>615</v>
      </c>
      <c r="V39" s="29">
        <v>0.92700000000000005</v>
      </c>
    </row>
    <row r="40" spans="1:22" x14ac:dyDescent="0.15">
      <c r="A40" s="28">
        <v>48.096825892260881</v>
      </c>
      <c r="B40" s="30">
        <v>0.17880956961965827</v>
      </c>
      <c r="C40" s="29">
        <v>1.8727292612252484</v>
      </c>
      <c r="D40" s="30">
        <v>2.1987152437267274E-2</v>
      </c>
      <c r="E40" s="29">
        <v>12.362421779084999</v>
      </c>
      <c r="F40" s="30">
        <v>7.1037813396502766E-2</v>
      </c>
      <c r="G40" s="29">
        <v>11.543479079642447</v>
      </c>
      <c r="H40" s="30">
        <v>0.25249744399646701</v>
      </c>
      <c r="I40" s="29">
        <v>14.305403477762427</v>
      </c>
      <c r="J40" s="30">
        <v>4.0198612934616754E-2</v>
      </c>
      <c r="K40" s="29">
        <v>0.11039668742485387</v>
      </c>
      <c r="L40" s="30">
        <v>6.144690661736109E-3</v>
      </c>
      <c r="M40" s="29">
        <v>9.1438565375258527</v>
      </c>
      <c r="N40" s="30">
        <v>1.7434499821535169E-2</v>
      </c>
      <c r="O40" s="29">
        <v>2.0222665923734597</v>
      </c>
      <c r="P40" s="30">
        <v>3.7195751660184281E-2</v>
      </c>
      <c r="Q40" s="29">
        <v>0.30810711854027401</v>
      </c>
      <c r="R40" s="30">
        <v>1.1186968934943246E-2</v>
      </c>
      <c r="S40" s="29">
        <v>0.18365994362498417</v>
      </c>
      <c r="T40" s="30">
        <v>5.2168239666789502E-3</v>
      </c>
      <c r="U40" s="37" t="s">
        <v>616</v>
      </c>
      <c r="V40" s="29">
        <v>0.76</v>
      </c>
    </row>
    <row r="41" spans="1:22" x14ac:dyDescent="0.15">
      <c r="A41" s="28">
        <v>49.915902295371666</v>
      </c>
      <c r="B41" s="30">
        <v>0.18894317084550968</v>
      </c>
      <c r="C41" s="29">
        <v>2.1393676361718477</v>
      </c>
      <c r="D41" s="30">
        <v>2.6296893047060732E-2</v>
      </c>
      <c r="E41" s="29">
        <v>14.371493098148783</v>
      </c>
      <c r="F41" s="30">
        <v>8.7157788187826046E-2</v>
      </c>
      <c r="G41" s="29">
        <v>11.542751369082911</v>
      </c>
      <c r="H41" s="30">
        <v>0.19119182512721553</v>
      </c>
      <c r="I41" s="29">
        <v>8.4631457051938845</v>
      </c>
      <c r="J41" s="30">
        <v>2.4857528408010216E-2</v>
      </c>
      <c r="K41" s="29">
        <v>0.15754255106894002</v>
      </c>
      <c r="L41" s="30">
        <v>6.0664122427361387E-3</v>
      </c>
      <c r="M41" s="29">
        <v>10.452998436211134</v>
      </c>
      <c r="N41" s="30">
        <v>2.0935683387981109E-2</v>
      </c>
      <c r="O41" s="29">
        <v>2.1554229280005299</v>
      </c>
      <c r="P41" s="30">
        <v>4.4425206426726128E-2</v>
      </c>
      <c r="Q41" s="29">
        <v>0.39636501702058158</v>
      </c>
      <c r="R41" s="30">
        <v>1.4659679064011315E-2</v>
      </c>
      <c r="S41" s="29">
        <v>0.28598488569839425</v>
      </c>
      <c r="T41" s="30">
        <v>6.8638946431585912E-3</v>
      </c>
      <c r="U41" s="37" t="s">
        <v>617</v>
      </c>
      <c r="V41" s="29">
        <v>0.73099999999999998</v>
      </c>
    </row>
    <row r="42" spans="1:22" x14ac:dyDescent="0.15">
      <c r="A42" s="28">
        <v>51.515502930430188</v>
      </c>
      <c r="B42" s="30">
        <v>0.19441126557897467</v>
      </c>
      <c r="C42" s="29">
        <v>2.8767515959681669</v>
      </c>
      <c r="D42" s="30">
        <v>3.1024039911559102E-2</v>
      </c>
      <c r="E42" s="29">
        <v>14.009301311405126</v>
      </c>
      <c r="F42" s="30">
        <v>9.0362094853759775E-2</v>
      </c>
      <c r="G42" s="29">
        <v>11.82902684816478</v>
      </c>
      <c r="H42" s="30">
        <v>0.1769397664975336</v>
      </c>
      <c r="I42" s="29">
        <v>6.3288391954736092</v>
      </c>
      <c r="J42" s="30">
        <v>1.915556088133193E-2</v>
      </c>
      <c r="K42" s="29">
        <v>0.19162017307894397</v>
      </c>
      <c r="L42" s="30">
        <v>6.1334168239454544E-3</v>
      </c>
      <c r="M42" s="29">
        <v>10.017360085191243</v>
      </c>
      <c r="N42" s="30">
        <v>2.1439755095931406E-2</v>
      </c>
      <c r="O42" s="29">
        <v>2.3088597337367673</v>
      </c>
      <c r="P42" s="30">
        <v>4.8581641201448818E-2</v>
      </c>
      <c r="Q42" s="29">
        <v>0.53726862818903853</v>
      </c>
      <c r="R42" s="30">
        <v>1.7429531567080599E-2</v>
      </c>
      <c r="S42" s="29">
        <v>0.29317237163807924</v>
      </c>
      <c r="T42" s="30">
        <v>7.4480147842282398E-3</v>
      </c>
      <c r="U42" s="37" t="s">
        <v>618</v>
      </c>
      <c r="V42" s="29">
        <v>0.91900000000000004</v>
      </c>
    </row>
    <row r="43" spans="1:22" x14ac:dyDescent="0.15">
      <c r="A43" s="28">
        <v>51.541422289628159</v>
      </c>
      <c r="B43" s="30">
        <v>0.19402510713819071</v>
      </c>
      <c r="C43" s="29">
        <v>2.7472599040116705</v>
      </c>
      <c r="D43" s="30">
        <v>3.092975090332499E-2</v>
      </c>
      <c r="E43" s="29">
        <v>13.872963422918913</v>
      </c>
      <c r="F43" s="30">
        <v>8.9762928883483389E-2</v>
      </c>
      <c r="G43" s="29">
        <v>11.591398742325758</v>
      </c>
      <c r="H43" s="30">
        <v>0.17478090593615894</v>
      </c>
      <c r="I43" s="29">
        <v>6.5873425821112956</v>
      </c>
      <c r="J43" s="30">
        <v>1.9472909280405022E-2</v>
      </c>
      <c r="K43" s="29">
        <v>0.18906631791422593</v>
      </c>
      <c r="L43" s="30">
        <v>6.0733773303586792E-3</v>
      </c>
      <c r="M43" s="29">
        <v>10.040187124733947</v>
      </c>
      <c r="N43" s="30">
        <v>2.1411803464078862E-2</v>
      </c>
      <c r="O43" s="29">
        <v>2.5738504052293329</v>
      </c>
      <c r="P43" s="30">
        <v>5.0835861968644036E-2</v>
      </c>
      <c r="Q43" s="29">
        <v>0.47080460135047952</v>
      </c>
      <c r="R43" s="30">
        <v>1.6100905320204643E-2</v>
      </c>
      <c r="S43" s="29">
        <v>0.29394645054435581</v>
      </c>
      <c r="T43" s="30">
        <v>7.426792230163585E-3</v>
      </c>
      <c r="U43" s="37" t="s">
        <v>619</v>
      </c>
      <c r="V43" s="29" t="s">
        <v>620</v>
      </c>
    </row>
    <row r="44" spans="1:22" x14ac:dyDescent="0.15">
      <c r="A44" s="28">
        <v>49.896751851092581</v>
      </c>
      <c r="B44" s="30">
        <v>0.18680994615786103</v>
      </c>
      <c r="C44" s="29">
        <v>2.132339822696264</v>
      </c>
      <c r="D44" s="30">
        <v>2.7434044456863326E-2</v>
      </c>
      <c r="E44" s="29">
        <v>14.217940210721583</v>
      </c>
      <c r="F44" s="30">
        <v>8.5529156772812545E-2</v>
      </c>
      <c r="G44" s="29">
        <v>11.590897549159786</v>
      </c>
      <c r="H44" s="30">
        <v>0.19311362588704137</v>
      </c>
      <c r="I44" s="29">
        <v>8.4701555027666657</v>
      </c>
      <c r="J44" s="30">
        <v>2.571462979240435E-2</v>
      </c>
      <c r="K44" s="29">
        <v>0.17660791002096116</v>
      </c>
      <c r="L44" s="30">
        <v>6.2776517872320785E-3</v>
      </c>
      <c r="M44" s="29">
        <v>10.370697443560418</v>
      </c>
      <c r="N44" s="30">
        <v>2.1388111579701264E-2</v>
      </c>
      <c r="O44" s="29">
        <v>2.3852102393171855</v>
      </c>
      <c r="P44" s="30">
        <v>4.5842548194556645E-2</v>
      </c>
      <c r="Q44" s="29">
        <v>0.42947832664188279</v>
      </c>
      <c r="R44" s="30">
        <v>1.5351187411822129E-2</v>
      </c>
      <c r="S44" s="29">
        <v>0.20972189314989137</v>
      </c>
      <c r="T44" s="30">
        <v>6.803504046918366E-3</v>
      </c>
      <c r="U44" s="37" t="s">
        <v>621</v>
      </c>
      <c r="V44" s="29" t="s">
        <v>620</v>
      </c>
    </row>
    <row r="45" spans="1:22" x14ac:dyDescent="0.15">
      <c r="A45" s="28">
        <v>49.955301398045712</v>
      </c>
      <c r="B45" s="30">
        <v>0.18706212206210798</v>
      </c>
      <c r="C45" s="29">
        <v>2.0451357796994261</v>
      </c>
      <c r="D45" s="30">
        <v>2.7209304467433047E-2</v>
      </c>
      <c r="E45" s="29">
        <v>14.189509286040183</v>
      </c>
      <c r="F45" s="30">
        <v>8.589151192497986E-2</v>
      </c>
      <c r="G45" s="29">
        <v>11.594454758904403</v>
      </c>
      <c r="H45" s="30">
        <v>0.18506720852520445</v>
      </c>
      <c r="I45" s="29">
        <v>8.454498991151949</v>
      </c>
      <c r="J45" s="30">
        <v>2.5800425481318577E-2</v>
      </c>
      <c r="K45" s="29">
        <v>0.15754971413778704</v>
      </c>
      <c r="L45" s="30">
        <v>6.2013773180630907E-3</v>
      </c>
      <c r="M45" s="29">
        <v>10.226682399861069</v>
      </c>
      <c r="N45" s="30">
        <v>2.1231410796703563E-2</v>
      </c>
      <c r="O45" s="29">
        <v>2.5619389821259255</v>
      </c>
      <c r="P45" s="30">
        <v>4.7703303847184735E-2</v>
      </c>
      <c r="Q45" s="29">
        <v>0.47164564104942608</v>
      </c>
      <c r="R45" s="30">
        <v>1.5505067462115251E-2</v>
      </c>
      <c r="S45" s="29">
        <v>0.22177380142962377</v>
      </c>
      <c r="T45" s="30">
        <v>6.7599537735167914E-3</v>
      </c>
      <c r="U45" s="37" t="s">
        <v>622</v>
      </c>
      <c r="V45" s="29">
        <v>0.91200000000000003</v>
      </c>
    </row>
    <row r="46" spans="1:22" x14ac:dyDescent="0.15">
      <c r="A46" s="28">
        <v>50.096667487120406</v>
      </c>
      <c r="B46" s="30">
        <v>0.19042068940193133</v>
      </c>
      <c r="C46" s="29">
        <v>3.070706352121078</v>
      </c>
      <c r="D46" s="30">
        <v>3.1679095616974712E-2</v>
      </c>
      <c r="E46" s="29">
        <v>14.468445812052844</v>
      </c>
      <c r="F46" s="30">
        <v>8.9975719735932685E-2</v>
      </c>
      <c r="G46" s="29">
        <v>11.548766030518113</v>
      </c>
      <c r="H46" s="30">
        <v>0.18100496487291343</v>
      </c>
      <c r="I46" s="29">
        <v>6.9251452731985479</v>
      </c>
      <c r="J46" s="30">
        <v>2.072990298942436E-2</v>
      </c>
      <c r="K46" s="29">
        <v>0.18313853243859371</v>
      </c>
      <c r="L46" s="30">
        <v>6.1411844082633633E-3</v>
      </c>
      <c r="M46" s="29">
        <v>10.013412854457574</v>
      </c>
      <c r="N46" s="30">
        <v>2.0907955973043141E-2</v>
      </c>
      <c r="O46" s="29">
        <v>2.5027260268594667</v>
      </c>
      <c r="P46" s="30">
        <v>4.9341869301041112E-2</v>
      </c>
      <c r="Q46" s="29">
        <v>0.67535469770506062</v>
      </c>
      <c r="R46" s="30">
        <v>1.8823486134435449E-2</v>
      </c>
      <c r="S46" s="29">
        <v>0.38383829401513475</v>
      </c>
      <c r="T46" s="30">
        <v>7.3796366569055796E-3</v>
      </c>
      <c r="U46" s="37" t="s">
        <v>623</v>
      </c>
      <c r="V46" s="29">
        <v>0.92300000000000004</v>
      </c>
    </row>
    <row r="47" spans="1:22" x14ac:dyDescent="0.15">
      <c r="A47" s="28">
        <v>59.619255695145853</v>
      </c>
      <c r="B47" s="30">
        <v>0.20655985424418707</v>
      </c>
      <c r="C47" s="29">
        <v>1.0338173771375438</v>
      </c>
      <c r="D47" s="30">
        <v>2.2305850492595074E-2</v>
      </c>
      <c r="E47" s="29">
        <v>16.871148281494992</v>
      </c>
      <c r="F47" s="30">
        <v>9.6294103354426452E-2</v>
      </c>
      <c r="G47" s="29">
        <v>7.1341978209170414</v>
      </c>
      <c r="H47" s="30">
        <v>0.13854469484264476</v>
      </c>
      <c r="I47" s="29">
        <v>1.1072937960753724</v>
      </c>
      <c r="J47" s="30">
        <v>8.8022548648938014E-3</v>
      </c>
      <c r="K47" s="29">
        <v>0.12763393087622379</v>
      </c>
      <c r="L47" s="30">
        <v>6.0183099792134936E-3</v>
      </c>
      <c r="M47" s="29">
        <v>6.2564607240518821</v>
      </c>
      <c r="N47" s="30">
        <v>1.7662051188605705E-2</v>
      </c>
      <c r="O47" s="29">
        <v>4.3718316974753382</v>
      </c>
      <c r="P47" s="30">
        <v>6.3485116811718381E-2</v>
      </c>
      <c r="Q47" s="29">
        <v>1.6745455581971664</v>
      </c>
      <c r="R47" s="30">
        <v>2.7655957166405308E-2</v>
      </c>
      <c r="S47" s="29">
        <v>1.7248530966574318</v>
      </c>
      <c r="T47" s="30">
        <v>1.0087682596084224E-2</v>
      </c>
      <c r="U47" s="37" t="s">
        <v>624</v>
      </c>
      <c r="V47" s="29">
        <v>0.97</v>
      </c>
    </row>
    <row r="48" spans="1:22" x14ac:dyDescent="0.15">
      <c r="A48" s="28">
        <v>61.770767640709593</v>
      </c>
      <c r="B48" s="30">
        <v>0.21068279260752101</v>
      </c>
      <c r="C48" s="29">
        <v>1.085659211403472</v>
      </c>
      <c r="D48" s="30">
        <v>2.2194348390563456E-2</v>
      </c>
      <c r="E48" s="29">
        <v>16.793922996926579</v>
      </c>
      <c r="F48" s="30">
        <v>9.6244629181546471E-2</v>
      </c>
      <c r="G48" s="29">
        <v>6.7744250841934042</v>
      </c>
      <c r="H48" s="30">
        <v>0.13540720858285776</v>
      </c>
      <c r="I48" s="29">
        <v>1.1961834679847647</v>
      </c>
      <c r="J48" s="30">
        <v>8.7864819312393292E-3</v>
      </c>
      <c r="K48" s="29">
        <v>0.15043539764530686</v>
      </c>
      <c r="L48" s="30">
        <v>5.7991792744482278E-3</v>
      </c>
      <c r="M48" s="29">
        <v>4.9168680495067614</v>
      </c>
      <c r="N48" s="30">
        <v>1.5213133925937384E-2</v>
      </c>
      <c r="O48" s="29">
        <v>5.1007458691724592</v>
      </c>
      <c r="P48" s="30">
        <v>6.8160246900577731E-2</v>
      </c>
      <c r="Q48" s="29">
        <v>1.7550677581516632</v>
      </c>
      <c r="R48" s="30">
        <v>2.8312402060951002E-2</v>
      </c>
      <c r="S48" s="29">
        <v>0.37042785576251513</v>
      </c>
      <c r="T48" s="30">
        <v>7.5182037605560064E-3</v>
      </c>
      <c r="U48" s="37" t="s">
        <v>625</v>
      </c>
      <c r="V48" s="29" t="s">
        <v>588</v>
      </c>
    </row>
    <row r="49" spans="1:22" x14ac:dyDescent="0.15">
      <c r="A49" s="28">
        <v>49.274779420897374</v>
      </c>
      <c r="B49" s="30">
        <v>0.19064461432724614</v>
      </c>
      <c r="C49" s="29">
        <v>1.7354159809074015</v>
      </c>
      <c r="D49" s="30">
        <v>2.3286852881404058E-2</v>
      </c>
      <c r="E49" s="29">
        <v>11.456253300550854</v>
      </c>
      <c r="F49" s="30">
        <v>6.901206891365283E-2</v>
      </c>
      <c r="G49" s="29">
        <v>11.539513142409415</v>
      </c>
      <c r="H49" s="30">
        <v>0.25464993719709111</v>
      </c>
      <c r="I49" s="29">
        <v>13.312044956434491</v>
      </c>
      <c r="J49" s="30">
        <v>3.808449597608822E-2</v>
      </c>
      <c r="K49" s="29">
        <v>0.10131619310499859</v>
      </c>
      <c r="L49" s="30">
        <v>6.9200023710741642E-3</v>
      </c>
      <c r="M49" s="29">
        <v>9.6410884349716959</v>
      </c>
      <c r="N49" s="30">
        <v>1.7764814166605372E-2</v>
      </c>
      <c r="O49" s="29">
        <v>2.2535329486176172</v>
      </c>
      <c r="P49" s="30">
        <v>3.8711188991353424E-2</v>
      </c>
      <c r="Q49" s="29">
        <v>0.36614267805271761</v>
      </c>
      <c r="R49" s="30">
        <v>1.2424301187228965E-2</v>
      </c>
      <c r="S49" s="29">
        <v>0.21065743120841288</v>
      </c>
      <c r="T49" s="30">
        <v>5.3929145019078525E-3</v>
      </c>
      <c r="U49" s="37" t="s">
        <v>626</v>
      </c>
      <c r="V49" s="29">
        <v>0.89100000000000001</v>
      </c>
    </row>
    <row r="50" spans="1:22" x14ac:dyDescent="0.15">
      <c r="A50" s="28">
        <v>49.015292445545178</v>
      </c>
      <c r="B50" s="30">
        <v>0.18639143288852356</v>
      </c>
      <c r="C50" s="29">
        <v>1.8326567472579207</v>
      </c>
      <c r="D50" s="30">
        <v>2.2824640193049049E-2</v>
      </c>
      <c r="E50" s="29">
        <v>11.792398861939857</v>
      </c>
      <c r="F50" s="30">
        <v>6.7725515523949884E-2</v>
      </c>
      <c r="G50" s="29">
        <v>11.535606236160968</v>
      </c>
      <c r="H50" s="30">
        <v>0.25153043329761904</v>
      </c>
      <c r="I50" s="29">
        <v>13.991185720171581</v>
      </c>
      <c r="J50" s="30">
        <v>4.0322457333677286E-2</v>
      </c>
      <c r="K50" s="29">
        <v>9.7300330861531656E-2</v>
      </c>
      <c r="L50" s="30">
        <v>6.4917029344858422E-3</v>
      </c>
      <c r="M50" s="29">
        <v>9.0168316919000837</v>
      </c>
      <c r="N50" s="30">
        <v>1.6857057016324124E-2</v>
      </c>
      <c r="O50" s="29">
        <v>1.9409911362583891</v>
      </c>
      <c r="P50" s="30">
        <v>3.496501432855862E-2</v>
      </c>
      <c r="Q50" s="29">
        <v>0.33904651372368766</v>
      </c>
      <c r="R50" s="30">
        <v>1.1609766341532003E-2</v>
      </c>
      <c r="S50" s="29">
        <v>0.33904651372368766</v>
      </c>
      <c r="T50" s="30">
        <v>5.5409693644834831E-3</v>
      </c>
      <c r="U50" s="37" t="s">
        <v>627</v>
      </c>
      <c r="V50" s="29">
        <v>0.73849999999999993</v>
      </c>
    </row>
    <row r="51" spans="1:22" x14ac:dyDescent="0.15">
      <c r="A51" s="28">
        <v>48.848743627037791</v>
      </c>
      <c r="B51" s="30">
        <v>0.18008724371774631</v>
      </c>
      <c r="C51" s="29">
        <v>1.9315326326116329</v>
      </c>
      <c r="D51" s="30">
        <v>2.3259612538540916E-2</v>
      </c>
      <c r="E51" s="29">
        <v>12.855737575148099</v>
      </c>
      <c r="F51" s="30">
        <v>7.33424006776911E-2</v>
      </c>
      <c r="G51" s="29">
        <v>11.540048658711223</v>
      </c>
      <c r="H51" s="30">
        <v>0.23408757903222543</v>
      </c>
      <c r="I51" s="29">
        <v>12.148620604621707</v>
      </c>
      <c r="J51" s="30">
        <v>3.709432481018831E-2</v>
      </c>
      <c r="K51" s="29">
        <v>0.11684982562599258</v>
      </c>
      <c r="L51" s="30">
        <v>6.4944081434496039E-3</v>
      </c>
      <c r="M51" s="29">
        <v>9.7694979747087913</v>
      </c>
      <c r="N51" s="30">
        <v>1.8852664292949354E-2</v>
      </c>
      <c r="O51" s="29">
        <v>2.0207998813731205</v>
      </c>
      <c r="P51" s="30">
        <v>3.7604054592531716E-2</v>
      </c>
      <c r="Q51" s="29">
        <v>0.42176267532815354</v>
      </c>
      <c r="R51" s="30">
        <v>1.3413729582069715E-2</v>
      </c>
      <c r="S51" s="29">
        <v>0.2224158698074151</v>
      </c>
      <c r="T51" s="30">
        <v>5.6346058001466208E-3</v>
      </c>
      <c r="U51" s="37" t="s">
        <v>628</v>
      </c>
      <c r="V51" s="29">
        <v>0.72</v>
      </c>
    </row>
    <row r="52" spans="1:22" x14ac:dyDescent="0.15">
      <c r="A52" s="28">
        <v>48.142662280283709</v>
      </c>
      <c r="B52" s="30">
        <v>0.18155271943166912</v>
      </c>
      <c r="C52" s="29">
        <v>1.856424063180808</v>
      </c>
      <c r="D52" s="30">
        <v>2.2372880239829827E-2</v>
      </c>
      <c r="E52" s="29">
        <v>12.701109852037684</v>
      </c>
      <c r="F52" s="30">
        <v>7.1600728635483155E-2</v>
      </c>
      <c r="G52" s="29">
        <v>11.541722376598994</v>
      </c>
      <c r="H52" s="30">
        <v>0.2398912370808971</v>
      </c>
      <c r="I52" s="29">
        <v>12.965883462345481</v>
      </c>
      <c r="J52" s="30">
        <v>3.6041136601447109E-2</v>
      </c>
      <c r="K52" s="29">
        <v>0.1203516410489989</v>
      </c>
      <c r="L52" s="30">
        <v>6.3788897140431436E-3</v>
      </c>
      <c r="M52" s="29">
        <v>9.7133803629962863</v>
      </c>
      <c r="N52" s="30">
        <v>1.82837872586788E-2</v>
      </c>
      <c r="O52" s="29">
        <v>2.2365346628272298</v>
      </c>
      <c r="P52" s="30">
        <v>3.7493043434169399E-2</v>
      </c>
      <c r="Q52" s="29">
        <v>0.37910766930434653</v>
      </c>
      <c r="R52" s="30">
        <v>1.3093544860899659E-2</v>
      </c>
      <c r="S52" s="29">
        <v>0.21262123251989803</v>
      </c>
      <c r="T52" s="30">
        <v>5.1776672058315492E-3</v>
      </c>
      <c r="U52" s="37" t="s">
        <v>629</v>
      </c>
      <c r="V52" s="29">
        <v>0.77249999999999996</v>
      </c>
    </row>
    <row r="53" spans="1:22" x14ac:dyDescent="0.15">
      <c r="A53" s="28">
        <v>49.576191776848859</v>
      </c>
      <c r="B53" s="30">
        <v>0.18264885362522545</v>
      </c>
      <c r="C53" s="29">
        <v>1.9767477594123914</v>
      </c>
      <c r="D53" s="30">
        <v>2.4556643228240284E-2</v>
      </c>
      <c r="E53" s="29">
        <v>12.388655901985956</v>
      </c>
      <c r="F53" s="30">
        <v>7.4200553716075174E-2</v>
      </c>
      <c r="G53" s="29">
        <v>11.539471949515727</v>
      </c>
      <c r="H53" s="30">
        <v>0.21625835893788686</v>
      </c>
      <c r="I53" s="29">
        <v>11.905629235577903</v>
      </c>
      <c r="J53" s="30">
        <v>3.7604465693888416E-2</v>
      </c>
      <c r="K53" s="29">
        <v>0.12238681890297474</v>
      </c>
      <c r="L53" s="30">
        <v>6.6161029237349666E-3</v>
      </c>
      <c r="M53" s="29">
        <v>9.7152061284086813</v>
      </c>
      <c r="N53" s="30">
        <v>1.9355556593597972E-2</v>
      </c>
      <c r="O53" s="29">
        <v>2.0966266516985019</v>
      </c>
      <c r="P53" s="30">
        <v>3.979187722258587E-2</v>
      </c>
      <c r="Q53" s="29">
        <v>0.35361765297785736</v>
      </c>
      <c r="R53" s="30">
        <v>1.258659601656326E-2</v>
      </c>
      <c r="S53" s="29">
        <v>0.21066583581659587</v>
      </c>
      <c r="T53" s="30">
        <v>6.0047979175326671E-3</v>
      </c>
      <c r="U53" s="37" t="s">
        <v>630</v>
      </c>
      <c r="V53" s="29">
        <v>0.75700000000000001</v>
      </c>
    </row>
    <row r="54" spans="1:22" x14ac:dyDescent="0.15">
      <c r="A54" s="28">
        <v>49.374164013733704</v>
      </c>
      <c r="B54" s="30">
        <v>0.1816475494065263</v>
      </c>
      <c r="C54" s="29">
        <v>1.9193763655258607</v>
      </c>
      <c r="D54" s="30">
        <v>2.3979152809787681E-2</v>
      </c>
      <c r="E54" s="29">
        <v>12.303668931037475</v>
      </c>
      <c r="F54" s="30">
        <v>7.217326043112117E-2</v>
      </c>
      <c r="G54" s="29">
        <v>11.537824219734109</v>
      </c>
      <c r="H54" s="30">
        <v>0.24798014838990123</v>
      </c>
      <c r="I54" s="29">
        <v>12.490741673222253</v>
      </c>
      <c r="J54" s="30">
        <v>4.0289824072603869E-2</v>
      </c>
      <c r="K54" s="29">
        <v>0.11083934590572647</v>
      </c>
      <c r="L54" s="30">
        <v>6.6391826063089956E-3</v>
      </c>
      <c r="M54" s="29">
        <v>9.4288674345142898</v>
      </c>
      <c r="N54" s="30">
        <v>1.8709465928620845E-2</v>
      </c>
      <c r="O54" s="29">
        <v>2.0974214686775938</v>
      </c>
      <c r="P54" s="30">
        <v>3.8661560189987225E-2</v>
      </c>
      <c r="Q54" s="29">
        <v>0.4082498984943953</v>
      </c>
      <c r="R54" s="30">
        <v>1.3135399659067319E-2</v>
      </c>
      <c r="S54" s="29">
        <v>0.21515873028758667</v>
      </c>
      <c r="T54" s="30">
        <v>5.7251048645398216E-3</v>
      </c>
      <c r="U54" s="37" t="s">
        <v>631</v>
      </c>
      <c r="V54" s="29">
        <v>0.79400000000000004</v>
      </c>
    </row>
    <row r="55" spans="1:22" x14ac:dyDescent="0.15">
      <c r="A55" s="28">
        <v>48.796083955416528</v>
      </c>
      <c r="B55" s="30">
        <v>0.18057893595255065</v>
      </c>
      <c r="C55" s="29">
        <v>2.0171342817852933</v>
      </c>
      <c r="D55" s="30">
        <v>2.4209040509702552E-2</v>
      </c>
      <c r="E55" s="29">
        <v>11.85743786389758</v>
      </c>
      <c r="F55" s="30">
        <v>7.0688530835950669E-2</v>
      </c>
      <c r="G55" s="29">
        <v>11.542825128902708</v>
      </c>
      <c r="H55" s="30">
        <v>0.23956671842032415</v>
      </c>
      <c r="I55" s="29">
        <v>13.065209559483948</v>
      </c>
      <c r="J55" s="30">
        <v>4.1451663739135731E-2</v>
      </c>
      <c r="K55" s="29">
        <v>0.11340108151330257</v>
      </c>
      <c r="L55" s="30">
        <v>6.725245469092333E-3</v>
      </c>
      <c r="M55" s="29">
        <v>9.6300599840854115</v>
      </c>
      <c r="N55" s="30">
        <v>1.8785646912754934E-2</v>
      </c>
      <c r="O55" s="29">
        <v>2.2514630652663215</v>
      </c>
      <c r="P55" s="30">
        <v>3.9860690119547799E-2</v>
      </c>
      <c r="Q55" s="29">
        <v>0.39439491181175146</v>
      </c>
      <c r="R55" s="30">
        <v>1.2963405795831639E-2</v>
      </c>
      <c r="S55" s="29">
        <v>0.26292994120783425</v>
      </c>
      <c r="T55" s="30">
        <v>5.8486661982153059E-3</v>
      </c>
      <c r="U55" s="37" t="s">
        <v>632</v>
      </c>
      <c r="V55" s="29">
        <v>0.75449999999999995</v>
      </c>
    </row>
    <row r="56" spans="1:22" x14ac:dyDescent="0.15">
      <c r="A56" s="28">
        <v>49.409002983979597</v>
      </c>
      <c r="B56" s="30">
        <v>0.1812648328872066</v>
      </c>
      <c r="C56" s="29">
        <v>1.9175979346125023</v>
      </c>
      <c r="D56" s="30">
        <v>2.3014243372045405E-2</v>
      </c>
      <c r="E56" s="29">
        <v>11.69222979283353</v>
      </c>
      <c r="F56" s="30">
        <v>6.9897085079942273E-2</v>
      </c>
      <c r="G56" s="29">
        <v>11.546729164618558</v>
      </c>
      <c r="H56" s="30">
        <v>0.24715196440407791</v>
      </c>
      <c r="I56" s="29">
        <v>13.096059991955924</v>
      </c>
      <c r="J56" s="30">
        <v>4.0506113555119676E-2</v>
      </c>
      <c r="K56" s="29">
        <v>9.8338355621153978E-2</v>
      </c>
      <c r="L56" s="30">
        <v>6.6691794383643551E-3</v>
      </c>
      <c r="M56" s="29">
        <v>9.4304476135469901</v>
      </c>
      <c r="N56" s="30">
        <v>1.7964531181426338E-2</v>
      </c>
      <c r="O56" s="29">
        <v>2.1754852549659369</v>
      </c>
      <c r="P56" s="30">
        <v>3.8993615258534953E-2</v>
      </c>
      <c r="Q56" s="29">
        <v>0.35020496032431359</v>
      </c>
      <c r="R56" s="30">
        <v>1.2165489952738069E-2</v>
      </c>
      <c r="S56" s="29">
        <v>0.20871814254285739</v>
      </c>
      <c r="T56" s="30">
        <v>5.5417588899124241E-3</v>
      </c>
      <c r="U56" s="37" t="s">
        <v>633</v>
      </c>
      <c r="V56" s="29">
        <v>0.75</v>
      </c>
    </row>
    <row r="57" spans="1:22" x14ac:dyDescent="0.15">
      <c r="A57" s="28"/>
      <c r="B57" s="30"/>
      <c r="C57" s="29"/>
      <c r="D57" s="30"/>
      <c r="E57" s="29"/>
      <c r="F57" s="30"/>
      <c r="G57" s="29"/>
      <c r="H57" s="30"/>
      <c r="I57" s="29"/>
      <c r="J57" s="30"/>
      <c r="K57" s="29"/>
      <c r="L57" s="30"/>
      <c r="M57" s="29"/>
      <c r="N57" s="30"/>
      <c r="O57" s="29"/>
      <c r="P57" s="30"/>
      <c r="Q57" s="29"/>
      <c r="R57" s="30"/>
      <c r="S57" s="29"/>
      <c r="T57" s="30"/>
      <c r="U57" s="37" t="s">
        <v>563</v>
      </c>
      <c r="V57" s="29">
        <v>0.74299999999999999</v>
      </c>
    </row>
    <row r="58" spans="1:22" x14ac:dyDescent="0.15">
      <c r="A58" s="28">
        <v>50.40241897548615</v>
      </c>
      <c r="B58" s="30">
        <v>0.18831603789716012</v>
      </c>
      <c r="C58" s="29">
        <v>2.249301081903992</v>
      </c>
      <c r="D58" s="30">
        <v>2.68885949932967E-2</v>
      </c>
      <c r="E58" s="29">
        <v>14.111351832141427</v>
      </c>
      <c r="F58" s="30">
        <v>8.4316456105191603E-2</v>
      </c>
      <c r="G58" s="29">
        <v>11.550763546938223</v>
      </c>
      <c r="H58" s="30">
        <v>0.18355433860075002</v>
      </c>
      <c r="I58" s="29">
        <v>7.4166686566709297</v>
      </c>
      <c r="J58" s="30">
        <v>2.0597720526679641E-2</v>
      </c>
      <c r="K58" s="29">
        <v>0.18476401744211363</v>
      </c>
      <c r="L58" s="30">
        <v>6.1644297251351905E-3</v>
      </c>
      <c r="M58" s="29">
        <v>10.989442428730932</v>
      </c>
      <c r="N58" s="30">
        <v>2.1910750314403732E-2</v>
      </c>
      <c r="O58" s="29">
        <v>2.4059488358223051</v>
      </c>
      <c r="P58" s="30">
        <v>4.414843935268855E-2</v>
      </c>
      <c r="Q58" s="29">
        <v>0.40266505975156286</v>
      </c>
      <c r="R58" s="30">
        <v>1.5138917718467558E-2</v>
      </c>
      <c r="S58" s="29">
        <v>0.22091349911557062</v>
      </c>
      <c r="T58" s="30">
        <v>6.6193416307494006E-3</v>
      </c>
      <c r="U58" s="37" t="s">
        <v>634</v>
      </c>
      <c r="V58" s="29">
        <v>0.93799999999999994</v>
      </c>
    </row>
    <row r="59" spans="1:22" x14ac:dyDescent="0.15">
      <c r="A59" s="28">
        <v>50.346258292936866</v>
      </c>
      <c r="B59" s="30">
        <v>0.18926920611355222</v>
      </c>
      <c r="C59" s="29">
        <v>2.3557325376500224</v>
      </c>
      <c r="D59" s="30">
        <v>2.7291397021929273E-2</v>
      </c>
      <c r="E59" s="29">
        <v>13.779229417412864</v>
      </c>
      <c r="F59" s="30">
        <v>8.2410126338191989E-2</v>
      </c>
      <c r="G59" s="29">
        <v>11.538875602858989</v>
      </c>
      <c r="H59" s="30">
        <v>0.19364541036717953</v>
      </c>
      <c r="I59" s="29">
        <v>8.2902120777692225</v>
      </c>
      <c r="J59" s="30">
        <v>2.3232573228861245E-2</v>
      </c>
      <c r="K59" s="29">
        <v>0.16754997180049139</v>
      </c>
      <c r="L59" s="30">
        <v>6.279705923093697E-3</v>
      </c>
      <c r="M59" s="29">
        <v>10.140284820284826</v>
      </c>
      <c r="N59" s="30">
        <v>2.0605869977604389E-2</v>
      </c>
      <c r="O59" s="29">
        <v>2.5353220283822857</v>
      </c>
      <c r="P59" s="30">
        <v>4.4563608825078281E-2</v>
      </c>
      <c r="Q59" s="29">
        <v>0.45950830589595837</v>
      </c>
      <c r="R59" s="30">
        <v>1.5648831062270399E-2</v>
      </c>
      <c r="S59" s="29">
        <v>0.24781343134563694</v>
      </c>
      <c r="T59" s="30">
        <v>6.5861871275592621E-3</v>
      </c>
      <c r="U59" s="37" t="s">
        <v>635</v>
      </c>
      <c r="V59" s="29">
        <v>0.95599999999999996</v>
      </c>
    </row>
    <row r="60" spans="1:22" x14ac:dyDescent="0.15">
      <c r="A60" s="28">
        <v>50.545781056875214</v>
      </c>
      <c r="B60" s="30">
        <v>0.19246620327712716</v>
      </c>
      <c r="C60" s="29">
        <v>2.2889982121931172</v>
      </c>
      <c r="D60" s="30">
        <v>2.7231296131176638E-2</v>
      </c>
      <c r="E60" s="29">
        <v>13.566256626631167</v>
      </c>
      <c r="F60" s="30">
        <v>8.4839163403397061E-2</v>
      </c>
      <c r="G60" s="29">
        <v>11.557482416720578</v>
      </c>
      <c r="H60" s="30">
        <v>0.18491509567456255</v>
      </c>
      <c r="I60" s="29">
        <v>7.5439515453192207</v>
      </c>
      <c r="J60" s="30">
        <v>2.0536597533760702E-2</v>
      </c>
      <c r="K60" s="29">
        <v>0.18380284020681895</v>
      </c>
      <c r="L60" s="30">
        <v>6.3127453074712375E-3</v>
      </c>
      <c r="M60" s="29">
        <v>11.186863574992074</v>
      </c>
      <c r="N60" s="30">
        <v>2.2261858514234227E-2</v>
      </c>
      <c r="O60" s="29">
        <v>2.3904413097936015</v>
      </c>
      <c r="P60" s="30">
        <v>4.5236233258272161E-2</v>
      </c>
      <c r="Q60" s="29">
        <v>0.46402684248934628</v>
      </c>
      <c r="R60" s="30">
        <v>1.6620931068441647E-2</v>
      </c>
      <c r="S60" s="29">
        <v>0.22297393730007545</v>
      </c>
      <c r="T60" s="30">
        <v>6.8511194948758479E-3</v>
      </c>
      <c r="U60" s="37" t="s">
        <v>636</v>
      </c>
      <c r="V60" s="29">
        <v>0.91700000000000004</v>
      </c>
    </row>
    <row r="61" spans="1:22" x14ac:dyDescent="0.15">
      <c r="A61" s="28">
        <v>48.79383284715118</v>
      </c>
      <c r="B61" s="30">
        <v>0.17259061791697231</v>
      </c>
      <c r="C61" s="29">
        <v>1.7539971583034171</v>
      </c>
      <c r="D61" s="30">
        <v>2.1301418489015851E-2</v>
      </c>
      <c r="E61" s="29">
        <v>11.77325438122082</v>
      </c>
      <c r="F61" s="30">
        <v>6.470345142831338E-2</v>
      </c>
      <c r="G61" s="29">
        <v>11.545475574049838</v>
      </c>
      <c r="H61" s="30">
        <v>0.22735465955174683</v>
      </c>
      <c r="I61" s="29">
        <v>14.451411369499892</v>
      </c>
      <c r="J61" s="30">
        <v>3.7831338225417899E-2</v>
      </c>
      <c r="K61" s="29">
        <v>0.11639798075697733</v>
      </c>
      <c r="L61" s="30">
        <v>5.8516058478070669E-3</v>
      </c>
      <c r="M61" s="29">
        <v>8.9726788269732012</v>
      </c>
      <c r="N61" s="30">
        <v>1.7380078887847091E-2</v>
      </c>
      <c r="O61" s="29">
        <v>2.0038514445834807</v>
      </c>
      <c r="P61" s="30">
        <v>3.3348496511047203E-2</v>
      </c>
      <c r="Q61" s="29">
        <v>0.32511160142466083</v>
      </c>
      <c r="R61" s="30">
        <v>1.1454657052995075E-2</v>
      </c>
      <c r="S61" s="29">
        <v>0.19265872677016938</v>
      </c>
      <c r="T61" s="30">
        <v>5.0533613396908346E-3</v>
      </c>
      <c r="U61" s="37" t="s">
        <v>637</v>
      </c>
      <c r="V61" s="29">
        <v>0.96499999999999997</v>
      </c>
    </row>
    <row r="62" spans="1:22" x14ac:dyDescent="0.15">
      <c r="A62" s="28">
        <v>48.813342909165641</v>
      </c>
      <c r="B62" s="30">
        <v>0.18212795186181702</v>
      </c>
      <c r="C62" s="29">
        <v>1.7510388195393987</v>
      </c>
      <c r="D62" s="30">
        <v>2.1359171520741585E-2</v>
      </c>
      <c r="E62" s="29">
        <v>11.732461821234756</v>
      </c>
      <c r="F62" s="30">
        <v>6.8031383818139002E-2</v>
      </c>
      <c r="G62" s="29">
        <v>11.540800838694912</v>
      </c>
      <c r="H62" s="30">
        <v>0.24912549730448774</v>
      </c>
      <c r="I62" s="29">
        <v>14.432774407699236</v>
      </c>
      <c r="J62" s="30">
        <v>3.7891228618997262E-2</v>
      </c>
      <c r="K62" s="29">
        <v>0.12442911955466213</v>
      </c>
      <c r="L62" s="30">
        <v>6.2712773972027937E-3</v>
      </c>
      <c r="M62" s="29">
        <v>9.0020454155231775</v>
      </c>
      <c r="N62" s="30">
        <v>1.7506817842292854E-2</v>
      </c>
      <c r="O62" s="29">
        <v>2.0580977758597743</v>
      </c>
      <c r="P62" s="30">
        <v>3.5560842420193112E-2</v>
      </c>
      <c r="Q62" s="29">
        <v>0.30906587760351556</v>
      </c>
      <c r="R62" s="30">
        <v>1.2396972323142375E-2</v>
      </c>
      <c r="S62" s="29">
        <v>0.1685813877837358</v>
      </c>
      <c r="T62" s="30">
        <v>5.1445476365799304E-3</v>
      </c>
      <c r="U62" s="37" t="s">
        <v>638</v>
      </c>
      <c r="V62" s="29">
        <v>0.73799999999999999</v>
      </c>
    </row>
    <row r="63" spans="1:22" x14ac:dyDescent="0.15">
      <c r="A63" s="28">
        <v>49.543587530940478</v>
      </c>
      <c r="B63" s="30">
        <v>0.17764101027156365</v>
      </c>
      <c r="C63" s="29">
        <v>1.6619235714391685</v>
      </c>
      <c r="D63" s="30">
        <v>2.2092116227498012E-2</v>
      </c>
      <c r="E63" s="29">
        <v>12.628009842644358</v>
      </c>
      <c r="F63" s="30">
        <v>7.0957166146113942E-2</v>
      </c>
      <c r="G63" s="29">
        <v>11.547157374987362</v>
      </c>
      <c r="H63" s="30">
        <v>0.2228543637585686</v>
      </c>
      <c r="I63" s="29">
        <v>11.687658160012413</v>
      </c>
      <c r="J63" s="30">
        <v>3.0878559105589592E-2</v>
      </c>
      <c r="K63" s="29">
        <v>0.13849363095326403</v>
      </c>
      <c r="L63" s="30">
        <v>6.2301082897063915E-3</v>
      </c>
      <c r="M63" s="29">
        <v>9.8741944561533685</v>
      </c>
      <c r="N63" s="30">
        <v>1.9116637951002043E-2</v>
      </c>
      <c r="O63" s="29">
        <v>2.1386226634884467</v>
      </c>
      <c r="P63" s="30">
        <v>3.6561679192732136E-2</v>
      </c>
      <c r="Q63" s="29">
        <v>0.3472376544190533</v>
      </c>
      <c r="R63" s="30">
        <v>1.252079951433855E-2</v>
      </c>
      <c r="S63" s="29">
        <v>0.35526627070619904</v>
      </c>
      <c r="T63" s="30">
        <v>5.8871173718724242E-3</v>
      </c>
      <c r="U63" s="37" t="s">
        <v>639</v>
      </c>
      <c r="V63" s="29">
        <v>0.73299999999999998</v>
      </c>
    </row>
    <row r="64" spans="1:22" x14ac:dyDescent="0.15">
      <c r="A64" s="28">
        <v>50.437168427748055</v>
      </c>
      <c r="B64" s="30">
        <v>0.18330733181875469</v>
      </c>
      <c r="C64" s="29">
        <v>2.1133032015049995</v>
      </c>
      <c r="D64" s="30">
        <v>2.5925792345743184E-2</v>
      </c>
      <c r="E64" s="29">
        <v>13.058306290724717</v>
      </c>
      <c r="F64" s="30">
        <v>7.655262304955586E-2</v>
      </c>
      <c r="G64" s="29">
        <v>11.546365852973397</v>
      </c>
      <c r="H64" s="30">
        <v>0.19363717390070506</v>
      </c>
      <c r="I64" s="29">
        <v>9.6669817231789263</v>
      </c>
      <c r="J64" s="30">
        <v>2.6689376499890234E-2</v>
      </c>
      <c r="K64" s="29">
        <v>0.17468634539756289</v>
      </c>
      <c r="L64" s="30">
        <v>6.2699995267201849E-3</v>
      </c>
      <c r="M64" s="29">
        <v>10.003303135294924</v>
      </c>
      <c r="N64" s="30">
        <v>2.0283197602280756E-2</v>
      </c>
      <c r="O64" s="29">
        <v>2.2809619353061086</v>
      </c>
      <c r="P64" s="30">
        <v>4.0404959722012405E-2</v>
      </c>
      <c r="Q64" s="29">
        <v>0.45980658731082658</v>
      </c>
      <c r="R64" s="30">
        <v>1.4940771325443074E-2</v>
      </c>
      <c r="S64" s="29">
        <v>0.19476523567314485</v>
      </c>
      <c r="T64" s="30">
        <v>6.3308634620791397E-3</v>
      </c>
      <c r="U64" s="37" t="s">
        <v>640</v>
      </c>
      <c r="V64" s="29">
        <v>0.80500000000000005</v>
      </c>
    </row>
    <row r="65" spans="1:22" x14ac:dyDescent="0.15">
      <c r="A65" s="28">
        <v>48.4164040998117</v>
      </c>
      <c r="B65" s="30">
        <v>0.17704474903582246</v>
      </c>
      <c r="C65" s="29">
        <v>1.956725139785136</v>
      </c>
      <c r="D65" s="30">
        <v>2.2593326826529071E-2</v>
      </c>
      <c r="E65" s="29">
        <v>12.033357885283772</v>
      </c>
      <c r="F65" s="30">
        <v>6.835934014187775E-2</v>
      </c>
      <c r="G65" s="29">
        <v>11.541667978363405</v>
      </c>
      <c r="H65" s="30">
        <v>0.22519294642624188</v>
      </c>
      <c r="I65" s="29">
        <v>13.501403464517439</v>
      </c>
      <c r="J65" s="30">
        <v>3.5471697266188089E-2</v>
      </c>
      <c r="K65" s="29">
        <v>0.12643454749380881</v>
      </c>
      <c r="L65" s="30">
        <v>6.1217584943742322E-3</v>
      </c>
      <c r="M65" s="29">
        <v>9.6933153078586738</v>
      </c>
      <c r="N65" s="30">
        <v>1.8499401465589042E-2</v>
      </c>
      <c r="O65" s="29">
        <v>2.0500458772210428</v>
      </c>
      <c r="P65" s="30">
        <v>3.532864560673795E-2</v>
      </c>
      <c r="Q65" s="29">
        <v>0.42245194043566275</v>
      </c>
      <c r="R65" s="30">
        <v>1.3335413668150437E-2</v>
      </c>
      <c r="S65" s="29">
        <v>0.17660698697547897</v>
      </c>
      <c r="T65" s="30">
        <v>5.3619647315625166E-3</v>
      </c>
      <c r="U65" s="37" t="s">
        <v>641</v>
      </c>
      <c r="V65" s="29">
        <v>0.88200000000000001</v>
      </c>
    </row>
    <row r="66" spans="1:22" x14ac:dyDescent="0.15">
      <c r="A66" s="28">
        <v>48.948677823310049</v>
      </c>
      <c r="B66" s="30">
        <v>0.18153057708874942</v>
      </c>
      <c r="C66" s="29">
        <v>1.8726060525319121</v>
      </c>
      <c r="D66" s="30">
        <v>2.2269967479735763E-2</v>
      </c>
      <c r="E66" s="29">
        <v>11.868870194691814</v>
      </c>
      <c r="F66" s="30">
        <v>6.8900453122013233E-2</v>
      </c>
      <c r="G66" s="29">
        <v>11.543723163062479</v>
      </c>
      <c r="H66" s="30">
        <v>0.24706338062512839</v>
      </c>
      <c r="I66" s="29">
        <v>13.530732800797304</v>
      </c>
      <c r="J66" s="30">
        <v>3.5730200185081419E-2</v>
      </c>
      <c r="K66" s="29">
        <v>0.11942128630830522</v>
      </c>
      <c r="L66" s="30">
        <v>6.4061757720795705E-3</v>
      </c>
      <c r="M66" s="29">
        <v>9.5175754567056021</v>
      </c>
      <c r="N66" s="30">
        <v>1.834436528676351E-2</v>
      </c>
      <c r="O66" s="29">
        <v>1.9639282126500279</v>
      </c>
      <c r="P66" s="30">
        <v>3.508773784002666E-2</v>
      </c>
      <c r="Q66" s="29">
        <v>0.3773311231254014</v>
      </c>
      <c r="R66" s="30">
        <v>1.2733265148540545E-2</v>
      </c>
      <c r="S66" s="29">
        <v>0.1886655615627007</v>
      </c>
      <c r="T66" s="30">
        <v>5.2681839417399162E-3</v>
      </c>
      <c r="U66" s="37" t="s">
        <v>642</v>
      </c>
      <c r="V66" s="29">
        <v>0.76600000000000001</v>
      </c>
    </row>
    <row r="67" spans="1:22" ht="14" thickBot="1" x14ac:dyDescent="0.2">
      <c r="A67" s="31"/>
      <c r="B67" s="32"/>
      <c r="C67" s="33"/>
      <c r="D67" s="32"/>
      <c r="E67" s="33"/>
      <c r="F67" s="32"/>
      <c r="G67" s="33"/>
      <c r="H67" s="32"/>
      <c r="I67" s="33"/>
      <c r="J67" s="32"/>
      <c r="K67" s="33"/>
      <c r="L67" s="32"/>
      <c r="M67" s="33"/>
      <c r="N67" s="32"/>
      <c r="O67" s="33"/>
      <c r="P67" s="32"/>
      <c r="Q67" s="33"/>
      <c r="R67" s="32"/>
      <c r="S67" s="33"/>
      <c r="T67" s="32"/>
      <c r="U67" s="38"/>
      <c r="V67" s="29">
        <v>0.754</v>
      </c>
    </row>
    <row r="68" spans="1:22" x14ac:dyDescent="0.15">
      <c r="A68" s="28">
        <v>48.916474722093206</v>
      </c>
      <c r="B68" s="30">
        <v>0.17863709570811775</v>
      </c>
      <c r="C68" s="29">
        <v>1.7983776686291575</v>
      </c>
      <c r="D68" s="30">
        <v>2.1967363060072024E-2</v>
      </c>
      <c r="E68" s="29">
        <v>11.502792878251897</v>
      </c>
      <c r="F68" s="30">
        <v>6.658932288841389E-2</v>
      </c>
      <c r="G68" s="29">
        <v>11.543938795893526</v>
      </c>
      <c r="H68" s="30">
        <v>0.23794482085483695</v>
      </c>
      <c r="I68" s="29">
        <v>14.096992807608133</v>
      </c>
      <c r="J68" s="30">
        <v>3.6563370245093214E-2</v>
      </c>
      <c r="K68" s="29">
        <v>0.11741639912366708</v>
      </c>
      <c r="L68" s="30">
        <v>6.3319258971819073E-3</v>
      </c>
      <c r="M68" s="29">
        <v>9.4324507296012552</v>
      </c>
      <c r="N68" s="30">
        <v>1.8307726594604962E-2</v>
      </c>
      <c r="O68" s="29">
        <v>1.9950752261354714</v>
      </c>
      <c r="P68" s="30">
        <v>3.4595801466324752E-2</v>
      </c>
      <c r="Q68" s="29">
        <v>0.32214242836493279</v>
      </c>
      <c r="R68" s="30">
        <v>1.2041909471981044E-2</v>
      </c>
      <c r="S68" s="29">
        <v>0.20974382407561043</v>
      </c>
      <c r="T68" s="30">
        <v>5.2209852176549098E-3</v>
      </c>
      <c r="U68" s="37" t="s">
        <v>643</v>
      </c>
      <c r="V68" s="29">
        <v>0.76400000000000001</v>
      </c>
    </row>
    <row r="69" spans="1:22" x14ac:dyDescent="0.15">
      <c r="A69" s="28">
        <v>48.154068594593511</v>
      </c>
      <c r="B69" s="30">
        <v>0.18422976179193962</v>
      </c>
      <c r="C69" s="29">
        <v>2.0586293205297168</v>
      </c>
      <c r="D69" s="30">
        <v>2.3515105139614793E-2</v>
      </c>
      <c r="E69" s="29">
        <v>12.507276675947359</v>
      </c>
      <c r="F69" s="30">
        <v>6.739808689644429E-2</v>
      </c>
      <c r="G69" s="29">
        <v>11.538155855464071</v>
      </c>
      <c r="H69" s="30">
        <v>0.26943093882769814</v>
      </c>
      <c r="I69" s="29">
        <v>13.27575136382541</v>
      </c>
      <c r="J69" s="30">
        <v>5.9785089389255884E-2</v>
      </c>
      <c r="K69" s="29">
        <v>0.10734568094380104</v>
      </c>
      <c r="L69" s="30">
        <v>6.8895638832221894E-3</v>
      </c>
      <c r="M69" s="29">
        <v>9.8426960349498316</v>
      </c>
      <c r="N69" s="30">
        <v>1.7227769296933038E-2</v>
      </c>
      <c r="O69" s="29">
        <v>1.8288894986967223</v>
      </c>
      <c r="P69" s="30">
        <v>3.3204403293588348E-2</v>
      </c>
      <c r="Q69" s="29">
        <v>0.37520826797179052</v>
      </c>
      <c r="R69" s="30">
        <v>1.1355978396780618E-2</v>
      </c>
      <c r="S69" s="29">
        <v>0.23876889780023031</v>
      </c>
      <c r="T69" s="30">
        <v>5.0131679013238556E-3</v>
      </c>
      <c r="U69" s="37" t="s">
        <v>644</v>
      </c>
      <c r="V69" s="29">
        <v>0.73499999999999999</v>
      </c>
    </row>
    <row r="70" spans="1:22" x14ac:dyDescent="0.15">
      <c r="A70" s="28">
        <v>48.460208707751683</v>
      </c>
      <c r="B70" s="30">
        <v>0.1785635117348445</v>
      </c>
      <c r="C70" s="29">
        <v>1.9910342743933263</v>
      </c>
      <c r="D70" s="30">
        <v>2.3130542027623314E-2</v>
      </c>
      <c r="E70" s="29">
        <v>11.165949019172048</v>
      </c>
      <c r="F70" s="30">
        <v>6.7554773182422242E-2</v>
      </c>
      <c r="G70" s="29">
        <v>11.541776809373815</v>
      </c>
      <c r="H70" s="30">
        <v>0.2271658282509359</v>
      </c>
      <c r="I70" s="29">
        <v>14.041608652878743</v>
      </c>
      <c r="J70" s="30">
        <v>4.662649548470589E-2</v>
      </c>
      <c r="K70" s="29">
        <v>0.1219307783965671</v>
      </c>
      <c r="L70" s="30">
        <v>6.2714730075939095E-3</v>
      </c>
      <c r="M70" s="29">
        <v>10.011871692784787</v>
      </c>
      <c r="N70" s="30">
        <v>1.8735515854858956E-2</v>
      </c>
      <c r="O70" s="29">
        <v>1.9784899556282476</v>
      </c>
      <c r="P70" s="30">
        <v>3.534601983079199E-2</v>
      </c>
      <c r="Q70" s="29">
        <v>0.32113456038602034</v>
      </c>
      <c r="R70" s="30">
        <v>1.14228044831148E-2</v>
      </c>
      <c r="S70" s="29">
        <v>0.30407428686551302</v>
      </c>
      <c r="T70" s="30">
        <v>8.1002957426677749E-3</v>
      </c>
      <c r="U70" s="37" t="s">
        <v>564</v>
      </c>
      <c r="V70" s="29">
        <v>0.68100000000000005</v>
      </c>
    </row>
    <row r="71" spans="1:22" x14ac:dyDescent="0.15">
      <c r="A71" s="28">
        <v>48.273734738542487</v>
      </c>
      <c r="B71" s="30">
        <v>0.17806587711801949</v>
      </c>
      <c r="C71" s="29">
        <v>1.9101172206420263</v>
      </c>
      <c r="D71" s="30">
        <v>2.2885496443956245E-2</v>
      </c>
      <c r="E71" s="29">
        <v>11.405010386764882</v>
      </c>
      <c r="F71" s="30">
        <v>6.6715090908731456E-2</v>
      </c>
      <c r="G71" s="29">
        <v>11.542486645881224</v>
      </c>
      <c r="H71" s="30">
        <v>0.24204825346145842</v>
      </c>
      <c r="I71" s="29">
        <v>14.409418560446113</v>
      </c>
      <c r="J71" s="30">
        <v>5.1106533232169453E-2</v>
      </c>
      <c r="K71" s="29">
        <v>0.12443106664544851</v>
      </c>
      <c r="L71" s="30">
        <v>6.1268799552152359E-3</v>
      </c>
      <c r="M71" s="29">
        <v>9.8541376972443917</v>
      </c>
      <c r="N71" s="30">
        <v>1.835618916104988E-2</v>
      </c>
      <c r="O71" s="29">
        <v>1.7545783873352157</v>
      </c>
      <c r="P71" s="30">
        <v>3.4252440632961248E-2</v>
      </c>
      <c r="Q71" s="29">
        <v>0.26692470748136538</v>
      </c>
      <c r="R71" s="30">
        <v>1.0629969512031772E-2</v>
      </c>
      <c r="S71" s="29">
        <v>0.40088879939400551</v>
      </c>
      <c r="T71" s="30">
        <v>5.8053709262244424E-3</v>
      </c>
      <c r="U71" s="37" t="s">
        <v>565</v>
      </c>
      <c r="V71" s="29">
        <v>0.71899999999999997</v>
      </c>
    </row>
    <row r="72" spans="1:22" x14ac:dyDescent="0.15">
      <c r="A72" s="28">
        <v>49.246977572655297</v>
      </c>
      <c r="B72" s="30">
        <v>0.17798300917555779</v>
      </c>
      <c r="C72" s="29">
        <v>1.8032606304112309</v>
      </c>
      <c r="D72" s="30">
        <v>2.0659596390495388E-2</v>
      </c>
      <c r="E72" s="29">
        <v>11.417640207467439</v>
      </c>
      <c r="F72" s="30">
        <v>6.4660722552135827E-2</v>
      </c>
      <c r="G72" s="29">
        <v>11.543075699287918</v>
      </c>
      <c r="H72" s="30">
        <v>0.28049904810783627</v>
      </c>
      <c r="I72" s="29">
        <v>14.121025927182437</v>
      </c>
      <c r="J72" s="30">
        <v>6.5089315698495451E-2</v>
      </c>
      <c r="K72" s="29">
        <v>9.9344909521820748E-2</v>
      </c>
      <c r="L72" s="30">
        <v>6.899752328564256E-3</v>
      </c>
      <c r="M72" s="29">
        <v>9.2912577501266504</v>
      </c>
      <c r="N72" s="30">
        <v>1.6895594743140306E-2</v>
      </c>
      <c r="O72" s="29">
        <v>1.9076229596058709</v>
      </c>
      <c r="P72" s="30">
        <v>3.4567081839538182E-2</v>
      </c>
      <c r="Q72" s="29">
        <v>0.30606260004197294</v>
      </c>
      <c r="R72" s="30">
        <v>1.0629033793037651E-2</v>
      </c>
      <c r="S72" s="29">
        <v>0.21976298166948224</v>
      </c>
      <c r="T72" s="30">
        <v>5.0521092093015604E-3</v>
      </c>
      <c r="U72" s="37" t="s">
        <v>566</v>
      </c>
      <c r="V72" s="29">
        <v>0.70150000000000001</v>
      </c>
    </row>
    <row r="73" spans="1:22" x14ac:dyDescent="0.15">
      <c r="A73" s="28">
        <v>48.9254133340336</v>
      </c>
      <c r="B73" s="30">
        <v>0.1772161644161365</v>
      </c>
      <c r="C73" s="29">
        <v>1.9207687962041375</v>
      </c>
      <c r="D73" s="30">
        <v>2.1347424401012782E-2</v>
      </c>
      <c r="E73" s="29">
        <v>11.434294495271653</v>
      </c>
      <c r="F73" s="30">
        <v>6.465155924927507E-2</v>
      </c>
      <c r="G73" s="29">
        <v>11.54267643361546</v>
      </c>
      <c r="H73" s="30">
        <v>0.26938644541064771</v>
      </c>
      <c r="I73" s="29">
        <v>14.271292085067419</v>
      </c>
      <c r="J73" s="30">
        <v>6.370205291551119E-2</v>
      </c>
      <c r="K73" s="29">
        <v>0.10537132894536803</v>
      </c>
      <c r="L73" s="30">
        <v>6.5217265881498745E-3</v>
      </c>
      <c r="M73" s="29">
        <v>9.4181897347836099</v>
      </c>
      <c r="N73" s="30">
        <v>1.6971106992593323E-2</v>
      </c>
      <c r="O73" s="29">
        <v>1.8746061187614051</v>
      </c>
      <c r="P73" s="30">
        <v>3.4285608609086721E-2</v>
      </c>
      <c r="Q73" s="29">
        <v>0.27998667405483513</v>
      </c>
      <c r="R73" s="30">
        <v>1.0417380185556034E-2</v>
      </c>
      <c r="S73" s="29">
        <v>0.18665778270322342</v>
      </c>
      <c r="T73" s="30">
        <v>4.9959328856083157E-3</v>
      </c>
      <c r="U73" s="37" t="s">
        <v>567</v>
      </c>
      <c r="V73" s="29">
        <v>0.66300000000000003</v>
      </c>
    </row>
    <row r="74" spans="1:22" x14ac:dyDescent="0.15">
      <c r="A74" s="28">
        <v>48.518978204736939</v>
      </c>
      <c r="B74" s="30">
        <v>0.17649214992776904</v>
      </c>
      <c r="C74" s="29">
        <v>1.8726376679016099</v>
      </c>
      <c r="D74" s="30">
        <v>2.2078772632093558E-2</v>
      </c>
      <c r="E74" s="29">
        <v>11.726565460573585</v>
      </c>
      <c r="F74" s="30">
        <v>6.5521480917027267E-2</v>
      </c>
      <c r="G74" s="29">
        <v>11.545925171065392</v>
      </c>
      <c r="H74" s="30">
        <v>0.25582190942277877</v>
      </c>
      <c r="I74" s="29">
        <v>14.266568642491578</v>
      </c>
      <c r="J74" s="30">
        <v>6.5559020217155123E-2</v>
      </c>
      <c r="K74" s="29">
        <v>0.10436994504917868</v>
      </c>
      <c r="L74" s="30">
        <v>6.4908086305864414E-3</v>
      </c>
      <c r="M74" s="29">
        <v>9.4173804263605074</v>
      </c>
      <c r="N74" s="30">
        <v>1.751303150988132E-2</v>
      </c>
      <c r="O74" s="29">
        <v>1.9900538560819359</v>
      </c>
      <c r="P74" s="30">
        <v>3.5243256775054257E-2</v>
      </c>
      <c r="Q74" s="29">
        <v>0.28199956306556934</v>
      </c>
      <c r="R74" s="30">
        <v>1.0541256467216209E-2</v>
      </c>
      <c r="S74" s="29">
        <v>0.23583593352458646</v>
      </c>
      <c r="T74" s="30">
        <v>5.2029416146393698E-3</v>
      </c>
      <c r="U74" s="37" t="s">
        <v>568</v>
      </c>
      <c r="V74" s="29">
        <v>0.66500000000000004</v>
      </c>
    </row>
    <row r="75" spans="1:22" x14ac:dyDescent="0.15">
      <c r="A75" s="28">
        <v>49.097176578197512</v>
      </c>
      <c r="B75" s="30">
        <v>0.17740037327117217</v>
      </c>
      <c r="C75" s="29">
        <v>1.729098913503277</v>
      </c>
      <c r="D75" s="30">
        <v>2.1626358840859537E-2</v>
      </c>
      <c r="E75" s="29">
        <v>11.484508395897562</v>
      </c>
      <c r="F75" s="30">
        <v>6.5628912298860365E-2</v>
      </c>
      <c r="G75" s="29">
        <v>11.543717238553796</v>
      </c>
      <c r="H75" s="30">
        <v>0.24645605429967588</v>
      </c>
      <c r="I75" s="29">
        <v>14.111775346304745</v>
      </c>
      <c r="J75" s="30">
        <v>5.8264556932069569E-2</v>
      </c>
      <c r="K75" s="29">
        <v>0.11841768531247049</v>
      </c>
      <c r="L75" s="30">
        <v>6.2867001790908074E-3</v>
      </c>
      <c r="M75" s="29">
        <v>9.4573581897010328</v>
      </c>
      <c r="N75" s="30">
        <v>1.7720252040042826E-2</v>
      </c>
      <c r="O75" s="29">
        <v>1.9348245532410431</v>
      </c>
      <c r="P75" s="30">
        <v>3.5232574667153418E-2</v>
      </c>
      <c r="Q75" s="29">
        <v>0.26894864121815332</v>
      </c>
      <c r="R75" s="30">
        <v>1.0264640051003795E-2</v>
      </c>
      <c r="S75" s="29">
        <v>0.20672917944380442</v>
      </c>
      <c r="T75" s="30">
        <v>5.1852019517274472E-3</v>
      </c>
      <c r="U75" s="37" t="s">
        <v>569</v>
      </c>
      <c r="V75" s="29">
        <v>0.67100000000000004</v>
      </c>
    </row>
    <row r="76" spans="1:22" x14ac:dyDescent="0.15">
      <c r="A76" s="28">
        <v>48.745475495617455</v>
      </c>
      <c r="B76" s="30">
        <v>0.17798971667945251</v>
      </c>
      <c r="C76" s="29">
        <v>1.7251039132227042</v>
      </c>
      <c r="D76" s="30">
        <v>2.1296062787951639E-2</v>
      </c>
      <c r="E76" s="29">
        <v>11.710434882720032</v>
      </c>
      <c r="F76" s="30">
        <v>6.5956682389944038E-2</v>
      </c>
      <c r="G76" s="29">
        <v>11.541838339717463</v>
      </c>
      <c r="H76" s="30">
        <v>0.26991743141263258</v>
      </c>
      <c r="I76" s="29">
        <v>14.264471799038695</v>
      </c>
      <c r="J76" s="30">
        <v>6.2218345158893011E-2</v>
      </c>
      <c r="K76" s="29">
        <v>0.11139414448383952</v>
      </c>
      <c r="L76" s="30">
        <v>6.4644584109295206E-3</v>
      </c>
      <c r="M76" s="29">
        <v>9.3942395181371339</v>
      </c>
      <c r="N76" s="30">
        <v>1.7635805847398843E-2</v>
      </c>
      <c r="O76" s="29">
        <v>1.9830164819825846</v>
      </c>
      <c r="P76" s="30">
        <v>3.539287817042517E-2</v>
      </c>
      <c r="Q76" s="29">
        <v>0.28199778918881907</v>
      </c>
      <c r="R76" s="30">
        <v>1.0395735699330139E-2</v>
      </c>
      <c r="S76" s="29">
        <v>0.20171372109235808</v>
      </c>
      <c r="T76" s="30">
        <v>5.1499933559532116E-3</v>
      </c>
      <c r="U76" s="37" t="s">
        <v>570</v>
      </c>
      <c r="V76" s="29">
        <v>0.68700000000000006</v>
      </c>
    </row>
    <row r="77" spans="1:22" x14ac:dyDescent="0.15">
      <c r="A77" s="28">
        <v>48.175468979404492</v>
      </c>
      <c r="B77" s="30">
        <v>0.17582793615289177</v>
      </c>
      <c r="C77" s="29">
        <v>1.9685161224923278</v>
      </c>
      <c r="D77" s="30">
        <v>2.1941474404523983E-2</v>
      </c>
      <c r="E77" s="29">
        <v>11.84922293916126</v>
      </c>
      <c r="F77" s="30">
        <v>6.4893335856381171E-2</v>
      </c>
      <c r="G77" s="29">
        <v>11.542206663176218</v>
      </c>
      <c r="H77" s="30">
        <v>0.2783668607578198</v>
      </c>
      <c r="I77" s="29">
        <v>14.60133289022979</v>
      </c>
      <c r="J77" s="30">
        <v>7.2722814539762884E-2</v>
      </c>
      <c r="K77" s="29">
        <v>0.10434540098838026</v>
      </c>
      <c r="L77" s="30">
        <v>6.6547009898146429E-3</v>
      </c>
      <c r="M77" s="29">
        <v>9.199451746754411</v>
      </c>
      <c r="N77" s="30">
        <v>1.7117603854220866E-2</v>
      </c>
      <c r="O77" s="29">
        <v>1.8842371447709436</v>
      </c>
      <c r="P77" s="30">
        <v>3.387029321954458E-2</v>
      </c>
      <c r="Q77" s="29">
        <v>0.39129525370642604</v>
      </c>
      <c r="R77" s="30">
        <v>1.1894593122167939E-2</v>
      </c>
      <c r="S77" s="29">
        <v>0.22775390408040697</v>
      </c>
      <c r="T77" s="30">
        <v>4.9232194921637086E-3</v>
      </c>
      <c r="U77" s="37" t="s">
        <v>571</v>
      </c>
      <c r="V77" s="29">
        <v>0.67</v>
      </c>
    </row>
    <row r="78" spans="1:22" x14ac:dyDescent="0.15">
      <c r="A78" s="28">
        <v>48.475333195318619</v>
      </c>
      <c r="B78" s="30">
        <v>0.1755800806001038</v>
      </c>
      <c r="C78" s="29">
        <v>1.8732731785577352</v>
      </c>
      <c r="D78" s="30">
        <v>2.1983422732328589E-2</v>
      </c>
      <c r="E78" s="29">
        <v>11.88981637167068</v>
      </c>
      <c r="F78" s="30">
        <v>6.4878328708149385E-2</v>
      </c>
      <c r="G78" s="29">
        <v>11.540647080755797</v>
      </c>
      <c r="H78" s="30">
        <v>0.28598185091996098</v>
      </c>
      <c r="I78" s="29">
        <v>14.271793086130275</v>
      </c>
      <c r="J78" s="30">
        <v>7.2716783824865822E-2</v>
      </c>
      <c r="K78" s="29">
        <v>9.9332643105096818E-2</v>
      </c>
      <c r="L78" s="30">
        <v>7.1891503784098287E-3</v>
      </c>
      <c r="M78" s="29">
        <v>9.178737566923493</v>
      </c>
      <c r="N78" s="30">
        <v>1.7089616113727842E-2</v>
      </c>
      <c r="O78" s="29">
        <v>2.0087267827919577</v>
      </c>
      <c r="P78" s="30">
        <v>3.4778292026546836E-2</v>
      </c>
      <c r="Q78" s="29">
        <v>0.37927009185582422</v>
      </c>
      <c r="R78" s="30">
        <v>1.1351326287189704E-2</v>
      </c>
      <c r="S78" s="29">
        <v>0.22876608715113209</v>
      </c>
      <c r="T78" s="30">
        <v>4.9989507832091072E-3</v>
      </c>
      <c r="U78" s="37" t="s">
        <v>572</v>
      </c>
      <c r="V78" s="29">
        <v>0.65</v>
      </c>
    </row>
    <row r="79" spans="1:22" x14ac:dyDescent="0.15">
      <c r="A79" s="28">
        <v>48.429437243866509</v>
      </c>
      <c r="B79" s="30">
        <v>0.17744909026932018</v>
      </c>
      <c r="C79" s="29">
        <v>2.0852524935818693</v>
      </c>
      <c r="D79" s="30">
        <v>2.3158709931095561E-2</v>
      </c>
      <c r="E79" s="29">
        <v>11.681126877545598</v>
      </c>
      <c r="F79" s="30">
        <v>6.6318896979652486E-2</v>
      </c>
      <c r="G79" s="29">
        <v>11.546157454837822</v>
      </c>
      <c r="H79" s="30">
        <v>0.25223446921902332</v>
      </c>
      <c r="I79" s="29">
        <v>14.121614877733812</v>
      </c>
      <c r="J79" s="30">
        <v>5.9869927827565873E-2</v>
      </c>
      <c r="K79" s="29">
        <v>0.11138740461385348</v>
      </c>
      <c r="L79" s="30">
        <v>6.7858209377401075E-3</v>
      </c>
      <c r="M79" s="29">
        <v>9.6585925171922486</v>
      </c>
      <c r="N79" s="30">
        <v>1.7948755646548697E-2</v>
      </c>
      <c r="O79" s="29">
        <v>1.8439131169185206</v>
      </c>
      <c r="P79" s="30">
        <v>3.4500628569759821E-2</v>
      </c>
      <c r="Q79" s="29">
        <v>0.28749992271954072</v>
      </c>
      <c r="R79" s="30">
        <v>1.0855148957117835E-2</v>
      </c>
      <c r="S79" s="29">
        <v>0.18464218422476611</v>
      </c>
      <c r="T79" s="30">
        <v>5.2763535206253398E-3</v>
      </c>
      <c r="U79" s="37" t="s">
        <v>573</v>
      </c>
      <c r="V79" s="29">
        <v>0.65300000000000002</v>
      </c>
    </row>
  </sheetData>
  <conditionalFormatting sqref="O1:O1048576">
    <cfRule type="cellIs" dxfId="2" priority="1" operator="lessThan">
      <formula>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C95"/>
  <sheetViews>
    <sheetView workbookViewId="0"/>
  </sheetViews>
  <sheetFormatPr baseColWidth="10" defaultColWidth="12.6640625" defaultRowHeight="15.75" customHeight="1" x14ac:dyDescent="0.15"/>
  <sheetData>
    <row r="1" spans="1:81" ht="15.75" customHeight="1" x14ac:dyDescent="0.2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81" ht="15.75" customHeight="1" x14ac:dyDescent="0.2">
      <c r="A2" s="1" t="s">
        <v>148</v>
      </c>
      <c r="B2" s="2">
        <v>575.42875100000003</v>
      </c>
      <c r="C2" s="2">
        <v>50.59</v>
      </c>
      <c r="D2" s="2">
        <v>1.76</v>
      </c>
      <c r="E2" s="2">
        <v>16.010000000000002</v>
      </c>
      <c r="F2" s="2">
        <v>8.93</v>
      </c>
      <c r="G2" s="2">
        <v>0</v>
      </c>
      <c r="H2" s="2">
        <v>6.84</v>
      </c>
      <c r="I2" s="2">
        <v>10.81</v>
      </c>
      <c r="J2" s="2">
        <v>3.54</v>
      </c>
      <c r="K2" s="2">
        <v>0.25</v>
      </c>
      <c r="L2" s="2">
        <v>0.24</v>
      </c>
      <c r="M2" s="2">
        <v>0.34200000000000003</v>
      </c>
      <c r="N2" s="2">
        <v>256</v>
      </c>
      <c r="O2" s="2">
        <v>1086.68</v>
      </c>
      <c r="P2" s="2">
        <v>0.129</v>
      </c>
      <c r="Q2" s="2"/>
      <c r="R2" s="3"/>
      <c r="S2" s="2"/>
      <c r="T2" s="2"/>
      <c r="U2" s="2"/>
      <c r="V2" s="2"/>
      <c r="W2" s="2"/>
      <c r="X2" s="2"/>
      <c r="Y2" s="2"/>
      <c r="Z2" s="2"/>
      <c r="AA2" s="2"/>
      <c r="AB2" s="3"/>
      <c r="AC2" s="2"/>
      <c r="AD2" s="2"/>
      <c r="AE2" s="2"/>
      <c r="AF2" s="3"/>
      <c r="AG2" s="2"/>
      <c r="AH2" s="2"/>
      <c r="AI2" s="2"/>
      <c r="AJ2" s="2"/>
      <c r="AK2" s="1"/>
      <c r="AL2" s="2"/>
      <c r="AM2" s="1"/>
      <c r="AN2" s="2"/>
      <c r="AO2" s="1"/>
      <c r="AP2" s="3"/>
      <c r="AQ2" s="2"/>
      <c r="AR2" s="2"/>
      <c r="AS2" s="2"/>
      <c r="AT2" s="2"/>
      <c r="AU2" s="2"/>
      <c r="AV2" s="2"/>
      <c r="AW2" s="2"/>
      <c r="AX2" s="3"/>
      <c r="AY2" s="2"/>
      <c r="AZ2" s="3"/>
      <c r="BA2" s="2"/>
      <c r="BB2" s="2"/>
      <c r="BC2" s="2"/>
      <c r="BD2" s="2"/>
      <c r="BE2" s="2"/>
      <c r="BF2" s="2"/>
      <c r="BG2" s="2"/>
      <c r="BH2" s="3"/>
      <c r="BI2" s="2"/>
      <c r="BJ2" s="3"/>
      <c r="BK2" s="2"/>
      <c r="BL2" s="2"/>
      <c r="BM2" s="2"/>
      <c r="BN2" s="2"/>
      <c r="BO2" s="2"/>
      <c r="BP2" s="2"/>
      <c r="BQ2" s="2"/>
      <c r="BR2" s="3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</row>
    <row r="3" spans="1:81" ht="15.75" customHeight="1" x14ac:dyDescent="0.2">
      <c r="A3" s="1" t="s">
        <v>149</v>
      </c>
      <c r="B3" s="2">
        <v>503.83430900000002</v>
      </c>
      <c r="C3" s="2">
        <v>50.57</v>
      </c>
      <c r="D3" s="2">
        <v>1.51</v>
      </c>
      <c r="E3" s="2">
        <v>16.579999999999998</v>
      </c>
      <c r="F3" s="2">
        <v>8.89</v>
      </c>
      <c r="G3" s="2">
        <v>0</v>
      </c>
      <c r="H3" s="2">
        <v>7.72</v>
      </c>
      <c r="I3" s="2">
        <v>10.92</v>
      </c>
      <c r="J3" s="2">
        <v>3.44</v>
      </c>
      <c r="K3" s="2">
        <v>0.2</v>
      </c>
      <c r="L3" s="2">
        <v>0.18</v>
      </c>
      <c r="M3" s="2">
        <v>0.25700000000000001</v>
      </c>
      <c r="N3" s="2">
        <v>226</v>
      </c>
      <c r="O3" s="2">
        <v>1022.34</v>
      </c>
      <c r="P3" s="2">
        <v>0.14099999999999999</v>
      </c>
      <c r="Q3" s="2"/>
      <c r="R3" s="3"/>
      <c r="S3" s="2"/>
      <c r="T3" s="2"/>
      <c r="U3" s="2"/>
      <c r="V3" s="2"/>
      <c r="W3" s="2"/>
      <c r="X3" s="2"/>
      <c r="Y3" s="2"/>
      <c r="Z3" s="2"/>
      <c r="AA3" s="2"/>
      <c r="AB3" s="3"/>
      <c r="AC3" s="2"/>
      <c r="AD3" s="2"/>
      <c r="AE3" s="2"/>
      <c r="AF3" s="3"/>
      <c r="AG3" s="2"/>
      <c r="AH3" s="2"/>
      <c r="AI3" s="2"/>
      <c r="AJ3" s="2"/>
      <c r="AK3" s="1"/>
      <c r="AL3" s="2"/>
      <c r="AM3" s="1"/>
      <c r="AN3" s="2"/>
      <c r="AO3" s="1"/>
      <c r="AP3" s="3"/>
      <c r="AQ3" s="2"/>
      <c r="AR3" s="2"/>
      <c r="AS3" s="2"/>
      <c r="AT3" s="2"/>
      <c r="AU3" s="2"/>
      <c r="AV3" s="2"/>
      <c r="AW3" s="2"/>
      <c r="AX3" s="3"/>
      <c r="AY3" s="2"/>
      <c r="AZ3" s="3"/>
      <c r="BA3" s="2"/>
      <c r="BB3" s="2"/>
      <c r="BC3" s="2"/>
      <c r="BD3" s="2"/>
      <c r="BE3" s="2"/>
      <c r="BF3" s="2"/>
      <c r="BG3" s="2"/>
      <c r="BH3" s="3"/>
      <c r="BI3" s="2"/>
      <c r="BJ3" s="3"/>
      <c r="BK3" s="2"/>
      <c r="BL3" s="2"/>
      <c r="BM3" s="2"/>
      <c r="BN3" s="2"/>
      <c r="BO3" s="2"/>
      <c r="BP3" s="2"/>
      <c r="BQ3" s="2"/>
      <c r="BR3" s="3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81" ht="15.75" customHeight="1" x14ac:dyDescent="0.2">
      <c r="A4" s="1" t="s">
        <v>150</v>
      </c>
      <c r="B4" s="2">
        <v>492.98144100000002</v>
      </c>
      <c r="C4" s="2">
        <v>50.03</v>
      </c>
      <c r="D4" s="2">
        <v>1.57</v>
      </c>
      <c r="E4" s="2">
        <v>16.7</v>
      </c>
      <c r="F4" s="2">
        <v>8.93</v>
      </c>
      <c r="G4" s="2">
        <v>0</v>
      </c>
      <c r="H4" s="2">
        <v>7.77</v>
      </c>
      <c r="I4" s="2">
        <v>10.88</v>
      </c>
      <c r="J4" s="2">
        <v>3.42</v>
      </c>
      <c r="K4" s="2">
        <v>0.2</v>
      </c>
      <c r="L4" s="2">
        <v>0.17</v>
      </c>
      <c r="M4" s="2">
        <v>0.247</v>
      </c>
      <c r="N4" s="2">
        <v>221</v>
      </c>
      <c r="O4" s="2">
        <v>1020.9</v>
      </c>
      <c r="P4" s="2">
        <v>0.14199999999999999</v>
      </c>
      <c r="Q4" s="2"/>
      <c r="R4" s="3"/>
      <c r="S4" s="2"/>
      <c r="T4" s="2"/>
      <c r="U4" s="2"/>
      <c r="V4" s="2"/>
      <c r="W4" s="2"/>
      <c r="X4" s="2"/>
      <c r="Y4" s="2"/>
      <c r="Z4" s="2"/>
      <c r="AA4" s="2"/>
      <c r="AB4" s="3"/>
      <c r="AC4" s="2"/>
      <c r="AD4" s="2"/>
      <c r="AE4" s="2"/>
      <c r="AF4" s="3"/>
      <c r="AG4" s="2"/>
      <c r="AH4" s="2"/>
      <c r="AI4" s="2"/>
      <c r="AJ4" s="2"/>
      <c r="AK4" s="1"/>
      <c r="AL4" s="2"/>
      <c r="AM4" s="1"/>
      <c r="AN4" s="2"/>
      <c r="AO4" s="1"/>
      <c r="AP4" s="3"/>
      <c r="AQ4" s="2"/>
      <c r="AR4" s="2"/>
      <c r="AS4" s="2"/>
      <c r="AT4" s="2"/>
      <c r="AU4" s="2"/>
      <c r="AV4" s="2"/>
      <c r="AW4" s="2"/>
      <c r="AX4" s="3"/>
      <c r="AY4" s="2"/>
      <c r="AZ4" s="3"/>
      <c r="BA4" s="2"/>
      <c r="BB4" s="2"/>
      <c r="BC4" s="2"/>
      <c r="BD4" s="2"/>
      <c r="BE4" s="2"/>
      <c r="BF4" s="2"/>
      <c r="BG4" s="2"/>
      <c r="BH4" s="3"/>
      <c r="BI4" s="2"/>
      <c r="BJ4" s="3"/>
      <c r="BK4" s="2"/>
      <c r="BL4" s="2"/>
      <c r="BM4" s="2"/>
      <c r="BN4" s="2"/>
      <c r="BO4" s="2"/>
      <c r="BP4" s="2"/>
      <c r="BQ4" s="2"/>
      <c r="BR4" s="3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81" ht="15.75" customHeight="1" x14ac:dyDescent="0.2">
      <c r="A5" s="1" t="s">
        <v>151</v>
      </c>
      <c r="B5" s="2">
        <v>703.730861</v>
      </c>
      <c r="C5" s="2">
        <v>50.69</v>
      </c>
      <c r="D5" s="2">
        <v>1.88</v>
      </c>
      <c r="E5" s="2">
        <v>16.149999999999999</v>
      </c>
      <c r="F5" s="2">
        <v>9.39</v>
      </c>
      <c r="G5" s="2">
        <v>0</v>
      </c>
      <c r="H5" s="2">
        <v>6.94</v>
      </c>
      <c r="I5" s="2">
        <v>10.43</v>
      </c>
      <c r="J5" s="2">
        <v>3.7</v>
      </c>
      <c r="K5" s="2">
        <v>0.27</v>
      </c>
      <c r="L5" s="2">
        <v>0.26</v>
      </c>
      <c r="M5" s="2">
        <v>0.38300000000000001</v>
      </c>
      <c r="N5" s="2">
        <v>317</v>
      </c>
      <c r="O5" s="2">
        <v>1119.76</v>
      </c>
      <c r="P5" s="2">
        <v>0.14499999999999999</v>
      </c>
      <c r="Q5" s="2"/>
      <c r="R5" s="3"/>
      <c r="S5" s="2"/>
      <c r="T5" s="2"/>
      <c r="U5" s="2"/>
      <c r="V5" s="2"/>
      <c r="W5" s="2"/>
      <c r="X5" s="2"/>
      <c r="Y5" s="2"/>
      <c r="Z5" s="2"/>
      <c r="AA5" s="2"/>
      <c r="AB5" s="3"/>
      <c r="AC5" s="2"/>
      <c r="AD5" s="2"/>
      <c r="AE5" s="2"/>
      <c r="AF5" s="3"/>
      <c r="AG5" s="2"/>
      <c r="AH5" s="2"/>
      <c r="AI5" s="2"/>
      <c r="AJ5" s="2"/>
      <c r="AK5" s="1"/>
      <c r="AL5" s="2"/>
      <c r="AM5" s="1"/>
      <c r="AN5" s="2"/>
      <c r="AO5" s="1"/>
      <c r="AP5" s="3"/>
      <c r="AQ5" s="2"/>
      <c r="AR5" s="2"/>
      <c r="AS5" s="2"/>
      <c r="AT5" s="2"/>
      <c r="AU5" s="2"/>
      <c r="AV5" s="2"/>
      <c r="AW5" s="2"/>
      <c r="AX5" s="3"/>
      <c r="AY5" s="2"/>
      <c r="AZ5" s="3"/>
      <c r="BA5" s="2"/>
      <c r="BB5" s="2"/>
      <c r="BC5" s="2"/>
      <c r="BD5" s="2"/>
      <c r="BE5" s="2"/>
      <c r="BF5" s="2"/>
      <c r="BG5" s="2"/>
      <c r="BH5" s="3"/>
      <c r="BI5" s="2"/>
      <c r="BJ5" s="3"/>
      <c r="BK5" s="2"/>
      <c r="BL5" s="2"/>
      <c r="BM5" s="2"/>
      <c r="BN5" s="2"/>
      <c r="BO5" s="2"/>
      <c r="BP5" s="2"/>
      <c r="BQ5" s="2"/>
      <c r="BR5" s="3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81" ht="15.75" customHeight="1" x14ac:dyDescent="0.2">
      <c r="A6" s="1" t="s">
        <v>152</v>
      </c>
      <c r="B6" s="2">
        <v>497.741173</v>
      </c>
      <c r="C6" s="2">
        <v>49.98</v>
      </c>
      <c r="D6" s="2">
        <v>1.51</v>
      </c>
      <c r="E6" s="2">
        <v>16.829999999999998</v>
      </c>
      <c r="F6" s="2">
        <v>8.9499999999999993</v>
      </c>
      <c r="G6" s="2">
        <v>0</v>
      </c>
      <c r="H6" s="2">
        <v>7.63</v>
      </c>
      <c r="I6" s="2">
        <v>10.95</v>
      </c>
      <c r="J6" s="2">
        <v>3.42</v>
      </c>
      <c r="K6" s="2">
        <v>0.16</v>
      </c>
      <c r="L6" s="2">
        <v>0.16</v>
      </c>
      <c r="M6" s="2">
        <v>0.255</v>
      </c>
      <c r="N6" s="2">
        <v>223</v>
      </c>
      <c r="O6" s="2">
        <v>1033.1600000000001</v>
      </c>
      <c r="P6" s="2">
        <v>0.14599999999999999</v>
      </c>
      <c r="Q6" s="2"/>
      <c r="R6" s="3"/>
      <c r="S6" s="2"/>
      <c r="T6" s="2"/>
      <c r="U6" s="2"/>
      <c r="V6" s="2"/>
      <c r="W6" s="2"/>
      <c r="X6" s="2"/>
      <c r="Y6" s="2"/>
      <c r="Z6" s="2"/>
      <c r="AA6" s="2"/>
      <c r="AB6" s="3"/>
      <c r="AC6" s="2"/>
      <c r="AD6" s="2"/>
      <c r="AE6" s="2"/>
      <c r="AF6" s="3"/>
      <c r="AG6" s="2"/>
      <c r="AH6" s="2"/>
      <c r="AI6" s="2"/>
      <c r="AJ6" s="2"/>
      <c r="AK6" s="1"/>
      <c r="AL6" s="2"/>
      <c r="AM6" s="1"/>
      <c r="AN6" s="2"/>
      <c r="AO6" s="1"/>
      <c r="AP6" s="3"/>
      <c r="AQ6" s="2"/>
      <c r="AR6" s="2"/>
      <c r="AS6" s="2"/>
      <c r="AT6" s="2"/>
      <c r="AU6" s="2"/>
      <c r="AV6" s="2"/>
      <c r="AW6" s="2"/>
      <c r="AX6" s="3"/>
      <c r="AY6" s="2"/>
      <c r="AZ6" s="3"/>
      <c r="BA6" s="2"/>
      <c r="BB6" s="2"/>
      <c r="BC6" s="2"/>
      <c r="BD6" s="2"/>
      <c r="BE6" s="2"/>
      <c r="BF6" s="2"/>
      <c r="BG6" s="2"/>
      <c r="BH6" s="3"/>
      <c r="BI6" s="2"/>
      <c r="BJ6" s="3"/>
      <c r="BK6" s="2"/>
      <c r="BL6" s="2"/>
      <c r="BM6" s="2"/>
      <c r="BN6" s="2"/>
      <c r="BO6" s="2"/>
      <c r="BP6" s="2"/>
      <c r="BQ6" s="2"/>
      <c r="BR6" s="3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81" ht="15.75" customHeight="1" x14ac:dyDescent="0.2">
      <c r="A7" s="1" t="s">
        <v>153</v>
      </c>
      <c r="B7" s="2">
        <v>576.77666799999997</v>
      </c>
      <c r="C7" s="2">
        <v>51.28</v>
      </c>
      <c r="D7" s="2">
        <v>1.63</v>
      </c>
      <c r="E7" s="2">
        <v>16.079999999999998</v>
      </c>
      <c r="F7" s="2">
        <v>9.0299999999999994</v>
      </c>
      <c r="G7" s="2">
        <v>0</v>
      </c>
      <c r="H7" s="2">
        <v>6.96</v>
      </c>
      <c r="I7" s="2">
        <v>11.06</v>
      </c>
      <c r="J7" s="2">
        <v>3.54</v>
      </c>
      <c r="K7" s="2">
        <v>0.34</v>
      </c>
      <c r="L7" s="2">
        <v>0.22</v>
      </c>
      <c r="M7" s="2">
        <v>0.308</v>
      </c>
      <c r="N7" s="2">
        <v>259</v>
      </c>
      <c r="O7" s="2">
        <v>1052.96</v>
      </c>
      <c r="P7" s="2">
        <v>0.14599999999999999</v>
      </c>
      <c r="Q7" s="2"/>
      <c r="R7" s="3"/>
      <c r="S7" s="2"/>
      <c r="T7" s="2"/>
      <c r="U7" s="2"/>
      <c r="V7" s="2"/>
      <c r="W7" s="2"/>
      <c r="X7" s="2"/>
      <c r="Y7" s="2"/>
      <c r="Z7" s="2"/>
      <c r="AA7" s="2"/>
      <c r="AB7" s="3"/>
      <c r="AC7" s="2"/>
      <c r="AD7" s="2"/>
      <c r="AE7" s="2"/>
      <c r="AF7" s="3"/>
      <c r="AG7" s="2"/>
      <c r="AH7" s="2"/>
      <c r="AI7" s="2"/>
      <c r="AJ7" s="2"/>
      <c r="AK7" s="1"/>
      <c r="AL7" s="2"/>
      <c r="AM7" s="1"/>
      <c r="AN7" s="2"/>
      <c r="AO7" s="1"/>
      <c r="AP7" s="3"/>
      <c r="AQ7" s="2"/>
      <c r="AR7" s="2"/>
      <c r="AS7" s="2"/>
      <c r="AT7" s="2"/>
      <c r="AU7" s="2"/>
      <c r="AV7" s="2"/>
      <c r="AW7" s="2"/>
      <c r="AX7" s="3"/>
      <c r="AY7" s="2"/>
      <c r="AZ7" s="3"/>
      <c r="BA7" s="2"/>
      <c r="BB7" s="2"/>
      <c r="BC7" s="2"/>
      <c r="BD7" s="2"/>
      <c r="BE7" s="2"/>
      <c r="BF7" s="2"/>
      <c r="BG7" s="2"/>
      <c r="BH7" s="3"/>
      <c r="BI7" s="2"/>
      <c r="BJ7" s="3"/>
      <c r="BK7" s="2"/>
      <c r="BL7" s="2"/>
      <c r="BM7" s="2"/>
      <c r="BN7" s="2"/>
      <c r="BO7" s="2"/>
      <c r="BP7" s="2"/>
      <c r="BQ7" s="2"/>
      <c r="BR7" s="3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</row>
    <row r="8" spans="1:81" ht="15.75" customHeight="1" x14ac:dyDescent="0.2">
      <c r="A8" s="1" t="s">
        <v>154</v>
      </c>
      <c r="B8" s="2">
        <v>160.28836899999999</v>
      </c>
      <c r="C8" s="2">
        <v>51.1</v>
      </c>
      <c r="D8" s="2">
        <v>0.78</v>
      </c>
      <c r="E8" s="2">
        <v>14.71</v>
      </c>
      <c r="F8" s="2">
        <v>10.029999999999999</v>
      </c>
      <c r="G8" s="2">
        <v>0</v>
      </c>
      <c r="H8" s="2">
        <v>8</v>
      </c>
      <c r="I8" s="2">
        <v>12.97</v>
      </c>
      <c r="J8" s="2">
        <v>1.72</v>
      </c>
      <c r="K8" s="2">
        <v>0.05</v>
      </c>
      <c r="L8" s="2">
        <v>0.06</v>
      </c>
      <c r="M8" s="2">
        <v>0.10299999999999999</v>
      </c>
      <c r="N8" s="2">
        <v>70</v>
      </c>
      <c r="O8" s="2">
        <v>1001.17</v>
      </c>
      <c r="P8" s="2">
        <v>0.14099999999999999</v>
      </c>
      <c r="Q8" s="2"/>
      <c r="R8" s="3"/>
      <c r="S8" s="2"/>
      <c r="T8" s="2"/>
      <c r="U8" s="2"/>
      <c r="V8" s="2"/>
      <c r="W8" s="2"/>
      <c r="X8" s="2"/>
      <c r="Y8" s="2"/>
      <c r="Z8" s="2"/>
      <c r="AA8" s="3"/>
      <c r="AB8" s="3"/>
      <c r="AC8" s="2"/>
      <c r="AD8" s="2"/>
      <c r="AE8" s="2"/>
      <c r="AF8" s="3"/>
      <c r="AG8" s="2"/>
      <c r="AH8" s="2"/>
      <c r="AI8" s="2"/>
      <c r="AJ8" s="2"/>
      <c r="AK8" s="1"/>
      <c r="AL8" s="2"/>
      <c r="AM8" s="1"/>
      <c r="AN8" s="2"/>
      <c r="AO8" s="1"/>
      <c r="AP8" s="3"/>
      <c r="AQ8" s="2"/>
      <c r="AR8" s="2"/>
      <c r="AS8" s="2"/>
      <c r="AT8" s="2"/>
      <c r="AU8" s="2"/>
      <c r="AV8" s="2"/>
      <c r="AW8" s="2"/>
      <c r="AX8" s="3"/>
      <c r="AY8" s="2"/>
      <c r="AZ8" s="3"/>
      <c r="BA8" s="2"/>
      <c r="BB8" s="2"/>
      <c r="BC8" s="2"/>
      <c r="BD8" s="2"/>
      <c r="BE8" s="2"/>
      <c r="BF8" s="2"/>
      <c r="BG8" s="2"/>
      <c r="BH8" s="3"/>
      <c r="BI8" s="2"/>
      <c r="BJ8" s="3"/>
      <c r="BK8" s="2"/>
      <c r="BL8" s="2"/>
      <c r="BM8" s="2"/>
      <c r="BN8" s="2"/>
      <c r="BO8" s="2"/>
      <c r="BP8" s="2"/>
      <c r="BQ8" s="2"/>
      <c r="BR8" s="3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</row>
    <row r="9" spans="1:81" ht="15.75" customHeight="1" x14ac:dyDescent="0.2">
      <c r="A9" s="1" t="s">
        <v>155</v>
      </c>
      <c r="B9" s="2">
        <v>165.31496300000001</v>
      </c>
      <c r="C9" s="2">
        <v>51.32</v>
      </c>
      <c r="D9" s="2">
        <v>0.79</v>
      </c>
      <c r="E9" s="2">
        <v>14.79</v>
      </c>
      <c r="F9" s="2">
        <v>10.07</v>
      </c>
      <c r="G9" s="2">
        <v>0</v>
      </c>
      <c r="H9" s="2">
        <v>7.96</v>
      </c>
      <c r="I9" s="2">
        <v>12.98</v>
      </c>
      <c r="J9" s="2">
        <v>1.68</v>
      </c>
      <c r="K9" s="2">
        <v>0.06</v>
      </c>
      <c r="L9" s="2">
        <v>0.08</v>
      </c>
      <c r="M9" s="2">
        <v>0.104</v>
      </c>
      <c r="N9" s="2">
        <v>72</v>
      </c>
      <c r="O9" s="2">
        <v>1014.05</v>
      </c>
      <c r="P9" s="2">
        <v>0.14499999999999999</v>
      </c>
      <c r="Q9" s="2"/>
      <c r="R9" s="3"/>
      <c r="S9" s="2"/>
      <c r="T9" s="2"/>
      <c r="U9" s="2"/>
      <c r="V9" s="2"/>
      <c r="W9" s="2"/>
      <c r="X9" s="2"/>
      <c r="Y9" s="2"/>
      <c r="Z9" s="2"/>
      <c r="AA9" s="3"/>
      <c r="AB9" s="3"/>
      <c r="AC9" s="2"/>
      <c r="AD9" s="2"/>
      <c r="AE9" s="2"/>
      <c r="AF9" s="3"/>
      <c r="AG9" s="2"/>
      <c r="AH9" s="2"/>
      <c r="AI9" s="2"/>
      <c r="AJ9" s="2"/>
      <c r="AK9" s="1"/>
      <c r="AL9" s="2"/>
      <c r="AM9" s="1"/>
      <c r="AN9" s="2"/>
      <c r="AO9" s="1"/>
      <c r="AP9" s="3"/>
      <c r="AQ9" s="2"/>
      <c r="AR9" s="2"/>
      <c r="AS9" s="2"/>
      <c r="AT9" s="2"/>
      <c r="AU9" s="2"/>
      <c r="AV9" s="2"/>
      <c r="AW9" s="2"/>
      <c r="AX9" s="3"/>
      <c r="AY9" s="2"/>
      <c r="AZ9" s="3"/>
      <c r="BA9" s="2"/>
      <c r="BB9" s="2"/>
      <c r="BC9" s="2"/>
      <c r="BD9" s="2"/>
      <c r="BE9" s="2"/>
      <c r="BF9" s="2"/>
      <c r="BG9" s="2"/>
      <c r="BH9" s="3"/>
      <c r="BI9" s="2"/>
      <c r="BJ9" s="3"/>
      <c r="BK9" s="2"/>
      <c r="BL9" s="2"/>
      <c r="BM9" s="2"/>
      <c r="BN9" s="2"/>
      <c r="BO9" s="2"/>
      <c r="BP9" s="2"/>
      <c r="BQ9" s="2"/>
      <c r="BR9" s="3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</row>
    <row r="10" spans="1:81" ht="15.75" customHeight="1" x14ac:dyDescent="0.2">
      <c r="A10" s="1" t="s">
        <v>156</v>
      </c>
      <c r="B10" s="2">
        <v>165.06922</v>
      </c>
      <c r="C10" s="2">
        <v>50.97</v>
      </c>
      <c r="D10" s="2">
        <v>0.81</v>
      </c>
      <c r="E10" s="2">
        <v>14.46</v>
      </c>
      <c r="F10" s="2">
        <v>9.9700000000000006</v>
      </c>
      <c r="G10" s="2">
        <v>0</v>
      </c>
      <c r="H10" s="2">
        <v>7.94</v>
      </c>
      <c r="I10" s="2">
        <v>13.06</v>
      </c>
      <c r="J10" s="2">
        <v>1.72</v>
      </c>
      <c r="K10" s="2">
        <v>0.05</v>
      </c>
      <c r="L10" s="2">
        <v>0.06</v>
      </c>
      <c r="M10" s="2">
        <v>0.104</v>
      </c>
      <c r="N10" s="2">
        <v>72</v>
      </c>
      <c r="O10" s="2">
        <v>1006.75</v>
      </c>
      <c r="P10" s="2">
        <v>0.14499999999999999</v>
      </c>
      <c r="Q10" s="2"/>
      <c r="R10" s="3"/>
      <c r="S10" s="2"/>
      <c r="T10" s="2"/>
      <c r="U10" s="2"/>
      <c r="V10" s="2"/>
      <c r="W10" s="2"/>
      <c r="X10" s="2"/>
      <c r="Y10" s="2"/>
      <c r="Z10" s="2"/>
      <c r="AA10" s="3"/>
      <c r="AB10" s="3"/>
      <c r="AC10" s="2"/>
      <c r="AD10" s="2"/>
      <c r="AE10" s="2"/>
      <c r="AF10" s="3"/>
      <c r="AG10" s="2"/>
      <c r="AH10" s="2"/>
      <c r="AI10" s="2"/>
      <c r="AJ10" s="2"/>
      <c r="AK10" s="1"/>
      <c r="AL10" s="2"/>
      <c r="AM10" s="1"/>
      <c r="AN10" s="2"/>
      <c r="AO10" s="1"/>
      <c r="AP10" s="3"/>
      <c r="AQ10" s="2"/>
      <c r="AR10" s="2"/>
      <c r="AS10" s="2"/>
      <c r="AT10" s="2"/>
      <c r="AU10" s="2"/>
      <c r="AV10" s="2"/>
      <c r="AW10" s="2"/>
      <c r="AX10" s="3"/>
      <c r="AY10" s="2"/>
      <c r="AZ10" s="3"/>
      <c r="BA10" s="2"/>
      <c r="BB10" s="2"/>
      <c r="BC10" s="2"/>
      <c r="BD10" s="2"/>
      <c r="BE10" s="2"/>
      <c r="BF10" s="2"/>
      <c r="BG10" s="2"/>
      <c r="BH10" s="3"/>
      <c r="BI10" s="2"/>
      <c r="BJ10" s="3"/>
      <c r="BK10" s="2"/>
      <c r="BL10" s="2"/>
      <c r="BM10" s="2"/>
      <c r="BN10" s="2"/>
      <c r="BO10" s="2"/>
      <c r="BP10" s="2"/>
      <c r="BQ10" s="2"/>
      <c r="BR10" s="3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</row>
    <row r="11" spans="1:81" ht="15.75" customHeight="1" x14ac:dyDescent="0.2">
      <c r="A11" s="1" t="s">
        <v>157</v>
      </c>
      <c r="B11" s="2">
        <v>368.66954700000002</v>
      </c>
      <c r="C11" s="2">
        <v>51.69</v>
      </c>
      <c r="D11" s="2">
        <v>1.1399999999999999</v>
      </c>
      <c r="E11" s="2">
        <v>15.71</v>
      </c>
      <c r="F11" s="2">
        <v>10.72</v>
      </c>
      <c r="G11" s="2">
        <v>0</v>
      </c>
      <c r="H11" s="2">
        <v>7.71</v>
      </c>
      <c r="I11" s="2">
        <v>9.61</v>
      </c>
      <c r="J11" s="2">
        <v>3.04</v>
      </c>
      <c r="K11" s="2">
        <v>0.11</v>
      </c>
      <c r="L11" s="2">
        <v>5.7000000000000002E-2</v>
      </c>
      <c r="M11" s="2">
        <v>0.61399999999999999</v>
      </c>
      <c r="N11" s="2">
        <v>150</v>
      </c>
      <c r="O11" s="2">
        <v>941.14</v>
      </c>
      <c r="P11" s="2">
        <v>0.113</v>
      </c>
      <c r="Q11" s="2"/>
      <c r="R11" s="3"/>
      <c r="S11" s="2"/>
      <c r="T11" s="2"/>
      <c r="U11" s="2"/>
      <c r="V11" s="2"/>
      <c r="W11" s="2"/>
      <c r="X11" s="2"/>
      <c r="Y11" s="2"/>
      <c r="Z11" s="2"/>
      <c r="AA11" s="2"/>
      <c r="AB11" s="3"/>
      <c r="AC11" s="2"/>
      <c r="AD11" s="2"/>
      <c r="AE11" s="2"/>
      <c r="AF11" s="3"/>
      <c r="AG11" s="2"/>
      <c r="AH11" s="2"/>
      <c r="AI11" s="2"/>
      <c r="AJ11" s="2"/>
      <c r="AK11" s="1"/>
      <c r="AL11" s="2"/>
      <c r="AM11" s="1"/>
      <c r="AN11" s="2"/>
      <c r="AO11" s="1"/>
      <c r="AP11" s="3"/>
      <c r="AQ11" s="2"/>
      <c r="AR11" s="2"/>
      <c r="AS11" s="2"/>
      <c r="AT11" s="2"/>
      <c r="AU11" s="2"/>
      <c r="AV11" s="2"/>
      <c r="AW11" s="2"/>
      <c r="AX11" s="3"/>
      <c r="AY11" s="2"/>
      <c r="AZ11" s="3"/>
      <c r="BA11" s="2"/>
      <c r="BB11" s="2"/>
      <c r="BC11" s="2"/>
      <c r="BD11" s="2"/>
      <c r="BE11" s="2"/>
      <c r="BF11" s="2"/>
      <c r="BG11" s="2"/>
      <c r="BH11" s="3"/>
      <c r="BI11" s="2"/>
      <c r="BJ11" s="3"/>
      <c r="BK11" s="2"/>
      <c r="BL11" s="2"/>
      <c r="BM11" s="2"/>
      <c r="BN11" s="2"/>
      <c r="BO11" s="2"/>
      <c r="BP11" s="2"/>
      <c r="BQ11" s="2"/>
      <c r="BR11" s="3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</row>
    <row r="12" spans="1:81" ht="15.75" customHeight="1" x14ac:dyDescent="0.2">
      <c r="A12" s="1" t="s">
        <v>158</v>
      </c>
      <c r="B12" s="2">
        <v>408.29844000000003</v>
      </c>
      <c r="C12" s="2">
        <v>48.41</v>
      </c>
      <c r="D12" s="2">
        <v>0.69</v>
      </c>
      <c r="E12" s="2">
        <v>16.93</v>
      </c>
      <c r="F12" s="2">
        <v>9.01</v>
      </c>
      <c r="G12" s="2">
        <v>0</v>
      </c>
      <c r="H12" s="2">
        <v>9.48</v>
      </c>
      <c r="I12" s="2">
        <v>12.56</v>
      </c>
      <c r="J12" s="2">
        <v>2</v>
      </c>
      <c r="K12" s="2">
        <v>7.0000000000000007E-2</v>
      </c>
      <c r="L12" s="2">
        <v>0.06</v>
      </c>
      <c r="M12" s="2">
        <v>0.13500000000000001</v>
      </c>
      <c r="N12" s="2">
        <v>181</v>
      </c>
      <c r="O12" s="2">
        <v>937.76</v>
      </c>
      <c r="P12" s="2">
        <v>0.114</v>
      </c>
      <c r="Q12" s="2"/>
      <c r="R12" s="3"/>
      <c r="S12" s="2"/>
      <c r="T12" s="2"/>
      <c r="U12" s="2"/>
      <c r="V12" s="2"/>
      <c r="W12" s="2"/>
      <c r="X12" s="2"/>
      <c r="Y12" s="2"/>
      <c r="Z12" s="2"/>
      <c r="AA12" s="2"/>
      <c r="AB12" s="3"/>
      <c r="AC12" s="2"/>
      <c r="AD12" s="2"/>
      <c r="AE12" s="2"/>
      <c r="AF12" s="3"/>
      <c r="AG12" s="2"/>
      <c r="AH12" s="2"/>
      <c r="AI12" s="2"/>
      <c r="AJ12" s="2"/>
      <c r="AK12" s="1"/>
      <c r="AL12" s="2"/>
      <c r="AM12" s="1"/>
      <c r="AN12" s="2"/>
      <c r="AO12" s="1"/>
      <c r="AP12" s="3"/>
      <c r="AQ12" s="2"/>
      <c r="AR12" s="2"/>
      <c r="AS12" s="2"/>
      <c r="AT12" s="2"/>
      <c r="AU12" s="2"/>
      <c r="AV12" s="2"/>
      <c r="AW12" s="2"/>
      <c r="AX12" s="3"/>
      <c r="AY12" s="2"/>
      <c r="AZ12" s="3"/>
      <c r="BA12" s="2"/>
      <c r="BB12" s="2"/>
      <c r="BC12" s="2"/>
      <c r="BD12" s="2"/>
      <c r="BE12" s="2"/>
      <c r="BF12" s="2"/>
      <c r="BG12" s="2"/>
      <c r="BH12" s="3"/>
      <c r="BI12" s="2"/>
      <c r="BJ12" s="3"/>
      <c r="BK12" s="2"/>
      <c r="BL12" s="2"/>
      <c r="BM12" s="2"/>
      <c r="BN12" s="2"/>
      <c r="BO12" s="2"/>
      <c r="BP12" s="2"/>
      <c r="BQ12" s="2"/>
      <c r="BR12" s="3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</row>
    <row r="13" spans="1:81" ht="15.75" customHeight="1" x14ac:dyDescent="0.2">
      <c r="A13" s="1" t="s">
        <v>159</v>
      </c>
      <c r="B13" s="2">
        <v>375.609779</v>
      </c>
      <c r="C13" s="2">
        <v>51.47</v>
      </c>
      <c r="D13" s="2">
        <v>1.18</v>
      </c>
      <c r="E13" s="2">
        <v>15.96</v>
      </c>
      <c r="F13" s="2">
        <v>10.39</v>
      </c>
      <c r="G13" s="2">
        <v>0</v>
      </c>
      <c r="H13" s="2">
        <v>7.53</v>
      </c>
      <c r="I13" s="2">
        <v>9.69</v>
      </c>
      <c r="J13" s="2">
        <v>3.04</v>
      </c>
      <c r="K13" s="2">
        <v>0.05</v>
      </c>
      <c r="L13" s="2">
        <v>5.7000000000000002E-2</v>
      </c>
      <c r="M13" s="2">
        <v>0.54100000000000004</v>
      </c>
      <c r="N13" s="2">
        <v>157</v>
      </c>
      <c r="O13" s="2">
        <v>959.09</v>
      </c>
      <c r="P13" s="2">
        <v>0.115</v>
      </c>
      <c r="Q13" s="2"/>
      <c r="R13" s="3"/>
      <c r="S13" s="2"/>
      <c r="T13" s="2"/>
      <c r="U13" s="2"/>
      <c r="V13" s="2"/>
      <c r="W13" s="2"/>
      <c r="X13" s="2"/>
      <c r="Y13" s="2"/>
      <c r="Z13" s="2"/>
      <c r="AA13" s="2"/>
      <c r="AB13" s="3"/>
      <c r="AC13" s="2"/>
      <c r="AD13" s="2"/>
      <c r="AE13" s="2"/>
      <c r="AF13" s="3"/>
      <c r="AG13" s="2"/>
      <c r="AH13" s="2"/>
      <c r="AI13" s="2"/>
      <c r="AJ13" s="2"/>
      <c r="AK13" s="1"/>
      <c r="AL13" s="2"/>
      <c r="AM13" s="1"/>
      <c r="AN13" s="2"/>
      <c r="AO13" s="1"/>
      <c r="AP13" s="3"/>
      <c r="AQ13" s="2"/>
      <c r="AR13" s="2"/>
      <c r="AS13" s="2"/>
      <c r="AT13" s="2"/>
      <c r="AU13" s="2"/>
      <c r="AV13" s="2"/>
      <c r="AW13" s="2"/>
      <c r="AX13" s="3"/>
      <c r="AY13" s="2"/>
      <c r="AZ13" s="3"/>
      <c r="BA13" s="2"/>
      <c r="BB13" s="2"/>
      <c r="BC13" s="2"/>
      <c r="BD13" s="2"/>
      <c r="BE13" s="2"/>
      <c r="BF13" s="2"/>
      <c r="BG13" s="2"/>
      <c r="BH13" s="3"/>
      <c r="BI13" s="2"/>
      <c r="BJ13" s="3"/>
      <c r="BK13" s="2"/>
      <c r="BL13" s="2"/>
      <c r="BM13" s="2"/>
      <c r="BN13" s="2"/>
      <c r="BO13" s="2"/>
      <c r="BP13" s="2"/>
      <c r="BQ13" s="2"/>
      <c r="BR13" s="3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</row>
    <row r="14" spans="1:81" ht="16" x14ac:dyDescent="0.2">
      <c r="A14" s="1" t="s">
        <v>160</v>
      </c>
      <c r="B14" s="2">
        <v>496.05480999999997</v>
      </c>
      <c r="C14" s="2">
        <v>49.32</v>
      </c>
      <c r="D14" s="2">
        <v>0.9</v>
      </c>
      <c r="E14" s="2">
        <v>16.309999999999999</v>
      </c>
      <c r="F14" s="2">
        <v>10.69</v>
      </c>
      <c r="G14" s="2">
        <v>0</v>
      </c>
      <c r="H14" s="2">
        <v>9.2100000000000009</v>
      </c>
      <c r="I14" s="2">
        <v>10.62</v>
      </c>
      <c r="J14" s="2">
        <v>2.79</v>
      </c>
      <c r="K14" s="2">
        <v>0.09</v>
      </c>
      <c r="L14" s="2">
        <v>6.5000000000000002E-2</v>
      </c>
      <c r="M14" s="2">
        <v>0.32100000000000001</v>
      </c>
      <c r="N14" s="2">
        <v>220</v>
      </c>
      <c r="O14" s="2">
        <v>941</v>
      </c>
      <c r="P14" s="2">
        <v>0.124</v>
      </c>
      <c r="Q14" s="2"/>
      <c r="R14" s="3"/>
      <c r="S14" s="2"/>
      <c r="T14" s="2"/>
      <c r="U14" s="2"/>
      <c r="V14" s="2"/>
      <c r="W14" s="2"/>
      <c r="X14" s="2"/>
      <c r="Y14" s="2"/>
      <c r="Z14" s="2"/>
      <c r="AA14" s="2"/>
      <c r="AB14" s="3"/>
      <c r="AC14" s="2"/>
      <c r="AD14" s="2"/>
      <c r="AE14" s="2"/>
      <c r="AF14" s="3"/>
      <c r="AG14" s="2"/>
      <c r="AH14" s="2"/>
      <c r="AI14" s="2"/>
      <c r="AJ14" s="2"/>
      <c r="AK14" s="1"/>
      <c r="AL14" s="2"/>
      <c r="AM14" s="1"/>
      <c r="AN14" s="2"/>
      <c r="AO14" s="1"/>
      <c r="AP14" s="3"/>
      <c r="AQ14" s="2"/>
      <c r="AR14" s="2"/>
      <c r="AS14" s="2"/>
      <c r="AT14" s="2"/>
      <c r="AU14" s="2"/>
      <c r="AV14" s="2"/>
      <c r="AW14" s="2"/>
      <c r="AX14" s="3"/>
      <c r="AY14" s="2"/>
      <c r="AZ14" s="3"/>
      <c r="BA14" s="2"/>
      <c r="BB14" s="2"/>
      <c r="BC14" s="2"/>
      <c r="BD14" s="2"/>
      <c r="BE14" s="2"/>
      <c r="BF14" s="2"/>
      <c r="BG14" s="2"/>
      <c r="BH14" s="3"/>
      <c r="BI14" s="2"/>
      <c r="BJ14" s="3"/>
      <c r="BK14" s="2"/>
      <c r="BL14" s="2"/>
      <c r="BM14" s="2"/>
      <c r="BN14" s="2"/>
      <c r="BO14" s="2"/>
      <c r="BP14" s="2"/>
      <c r="BQ14" s="2"/>
      <c r="BR14" s="3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</row>
    <row r="15" spans="1:81" ht="16" x14ac:dyDescent="0.2">
      <c r="A15" s="1" t="s">
        <v>161</v>
      </c>
      <c r="B15" s="2">
        <v>500.04179699999997</v>
      </c>
      <c r="C15" s="2">
        <v>49.42</v>
      </c>
      <c r="D15" s="2">
        <v>0.91</v>
      </c>
      <c r="E15" s="2">
        <v>16.329999999999998</v>
      </c>
      <c r="F15" s="2">
        <v>10.66</v>
      </c>
      <c r="G15" s="2">
        <v>0</v>
      </c>
      <c r="H15" s="2">
        <v>9.0500000000000007</v>
      </c>
      <c r="I15" s="2">
        <v>10.69</v>
      </c>
      <c r="J15" s="2">
        <v>2.77</v>
      </c>
      <c r="K15" s="2">
        <v>0.09</v>
      </c>
      <c r="L15" s="2">
        <v>6.8000000000000005E-2</v>
      </c>
      <c r="M15" s="2">
        <v>0.28000000000000003</v>
      </c>
      <c r="N15" s="2">
        <v>223</v>
      </c>
      <c r="O15" s="2">
        <v>932.3</v>
      </c>
      <c r="P15" s="2">
        <v>0.125</v>
      </c>
      <c r="Q15" s="2"/>
      <c r="R15" s="3"/>
      <c r="S15" s="2"/>
      <c r="T15" s="2"/>
      <c r="U15" s="2"/>
      <c r="V15" s="2"/>
      <c r="W15" s="2"/>
      <c r="X15" s="2"/>
      <c r="Y15" s="2"/>
      <c r="Z15" s="2"/>
      <c r="AA15" s="2"/>
      <c r="AB15" s="3"/>
      <c r="AC15" s="2"/>
      <c r="AD15" s="2"/>
      <c r="AE15" s="2"/>
      <c r="AF15" s="3"/>
      <c r="AG15" s="2"/>
      <c r="AH15" s="2"/>
      <c r="AI15" s="2"/>
      <c r="AJ15" s="2"/>
      <c r="AK15" s="1"/>
      <c r="AL15" s="2"/>
      <c r="AM15" s="1"/>
      <c r="AN15" s="2"/>
      <c r="AO15" s="1"/>
      <c r="AP15" s="3"/>
      <c r="AQ15" s="2"/>
      <c r="AR15" s="2"/>
      <c r="AS15" s="2"/>
      <c r="AT15" s="2"/>
      <c r="AU15" s="2"/>
      <c r="AV15" s="2"/>
      <c r="AW15" s="2"/>
      <c r="AX15" s="3"/>
      <c r="AY15" s="2"/>
      <c r="AZ15" s="3"/>
      <c r="BA15" s="2"/>
      <c r="BB15" s="2"/>
      <c r="BC15" s="2"/>
      <c r="BD15" s="2"/>
      <c r="BE15" s="2"/>
      <c r="BF15" s="2"/>
      <c r="BG15" s="2"/>
      <c r="BH15" s="3"/>
      <c r="BI15" s="2"/>
      <c r="BJ15" s="3"/>
      <c r="BK15" s="2"/>
      <c r="BL15" s="2"/>
      <c r="BM15" s="2"/>
      <c r="BN15" s="2"/>
      <c r="BO15" s="2"/>
      <c r="BP15" s="2"/>
      <c r="BQ15" s="2"/>
      <c r="BR15" s="3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</row>
    <row r="16" spans="1:81" ht="16" x14ac:dyDescent="0.2">
      <c r="A16" s="1" t="s">
        <v>162</v>
      </c>
      <c r="B16" s="2">
        <v>372.32912700000003</v>
      </c>
      <c r="C16" s="2">
        <v>50.37</v>
      </c>
      <c r="D16" s="2">
        <v>0.95</v>
      </c>
      <c r="E16" s="2">
        <v>16.510000000000002</v>
      </c>
      <c r="F16" s="2">
        <v>8.2100000000000009</v>
      </c>
      <c r="G16" s="2">
        <v>0</v>
      </c>
      <c r="H16" s="2">
        <v>9.15</v>
      </c>
      <c r="I16" s="2">
        <v>11.74</v>
      </c>
      <c r="J16" s="2">
        <v>2.37</v>
      </c>
      <c r="K16" s="2">
        <v>7.0000000000000007E-2</v>
      </c>
      <c r="L16" s="2">
        <v>0.08</v>
      </c>
      <c r="M16" s="2">
        <v>0.24299999999999999</v>
      </c>
      <c r="N16" s="2">
        <v>166</v>
      </c>
      <c r="O16" s="2">
        <v>798.06</v>
      </c>
      <c r="P16" s="2">
        <v>0.128</v>
      </c>
      <c r="Q16" s="2"/>
      <c r="R16" s="3"/>
      <c r="S16" s="2"/>
      <c r="T16" s="2"/>
      <c r="U16" s="2"/>
      <c r="V16" s="2"/>
      <c r="W16" s="2"/>
      <c r="X16" s="2"/>
      <c r="Y16" s="2"/>
      <c r="Z16" s="2"/>
      <c r="AA16" s="2"/>
      <c r="AB16" s="3"/>
      <c r="AC16" s="2"/>
      <c r="AD16" s="2"/>
      <c r="AE16" s="2"/>
      <c r="AF16" s="3"/>
      <c r="AG16" s="2"/>
      <c r="AH16" s="2"/>
      <c r="AI16" s="2"/>
      <c r="AJ16" s="2"/>
      <c r="AK16" s="1"/>
      <c r="AL16" s="2"/>
      <c r="AM16" s="1"/>
      <c r="AN16" s="2"/>
      <c r="AO16" s="1"/>
      <c r="AP16" s="3"/>
      <c r="AQ16" s="2"/>
      <c r="AR16" s="2"/>
      <c r="AS16" s="2"/>
      <c r="AT16" s="2"/>
      <c r="AU16" s="2"/>
      <c r="AV16" s="2"/>
      <c r="AW16" s="2"/>
      <c r="AX16" s="3"/>
      <c r="AY16" s="2"/>
      <c r="AZ16" s="3"/>
      <c r="BA16" s="2"/>
      <c r="BB16" s="2"/>
      <c r="BC16" s="2"/>
      <c r="BD16" s="2"/>
      <c r="BE16" s="2"/>
      <c r="BF16" s="2"/>
      <c r="BG16" s="2"/>
      <c r="BH16" s="3"/>
      <c r="BI16" s="2"/>
      <c r="BJ16" s="3"/>
      <c r="BK16" s="2"/>
      <c r="BL16" s="2"/>
      <c r="BM16" s="2"/>
      <c r="BN16" s="2"/>
      <c r="BO16" s="2"/>
      <c r="BP16" s="2"/>
      <c r="BQ16" s="2"/>
      <c r="BR16" s="3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</row>
    <row r="17" spans="1:81" ht="16" x14ac:dyDescent="0.2">
      <c r="A17" s="1" t="s">
        <v>163</v>
      </c>
      <c r="B17" s="2">
        <v>329.17981500000002</v>
      </c>
      <c r="C17" s="2">
        <v>50.33</v>
      </c>
      <c r="D17" s="2">
        <v>1.44</v>
      </c>
      <c r="E17" s="2">
        <v>14.86</v>
      </c>
      <c r="F17" s="2">
        <v>9.84</v>
      </c>
      <c r="G17" s="2">
        <v>0</v>
      </c>
      <c r="H17" s="2">
        <v>8.5</v>
      </c>
      <c r="I17" s="2">
        <v>10.95</v>
      </c>
      <c r="J17" s="2">
        <v>2.64</v>
      </c>
      <c r="K17" s="2">
        <v>0.34</v>
      </c>
      <c r="L17" s="2">
        <v>0</v>
      </c>
      <c r="M17" s="2">
        <v>0.497</v>
      </c>
      <c r="N17" s="2">
        <v>137</v>
      </c>
      <c r="O17" s="2">
        <v>1053.3599999999999</v>
      </c>
      <c r="P17" s="2">
        <v>0.128</v>
      </c>
      <c r="Q17" s="2"/>
      <c r="R17" s="3"/>
      <c r="S17" s="2"/>
      <c r="T17" s="2"/>
      <c r="U17" s="2"/>
      <c r="V17" s="2"/>
      <c r="W17" s="2"/>
      <c r="X17" s="2"/>
      <c r="Y17" s="2"/>
      <c r="Z17" s="2"/>
      <c r="AA17" s="2"/>
      <c r="AB17" s="3"/>
      <c r="AC17" s="2"/>
      <c r="AD17" s="2"/>
      <c r="AE17" s="2"/>
      <c r="AF17" s="3"/>
      <c r="AG17" s="2"/>
      <c r="AH17" s="2"/>
      <c r="AI17" s="2"/>
      <c r="AJ17" s="2"/>
      <c r="AK17" s="1"/>
      <c r="AL17" s="2"/>
      <c r="AM17" s="1"/>
      <c r="AN17" s="2"/>
      <c r="AO17" s="1"/>
      <c r="AP17" s="3"/>
      <c r="AQ17" s="2"/>
      <c r="AR17" s="2"/>
      <c r="AS17" s="2"/>
      <c r="AT17" s="2"/>
      <c r="AU17" s="2"/>
      <c r="AV17" s="2"/>
      <c r="AW17" s="2"/>
      <c r="AX17" s="3"/>
      <c r="AY17" s="2"/>
      <c r="AZ17" s="3"/>
      <c r="BA17" s="2"/>
      <c r="BB17" s="2"/>
      <c r="BC17" s="2"/>
      <c r="BD17" s="2"/>
      <c r="BE17" s="2"/>
      <c r="BF17" s="2"/>
      <c r="BG17" s="2"/>
      <c r="BH17" s="3"/>
      <c r="BI17" s="2"/>
      <c r="BJ17" s="3"/>
      <c r="BK17" s="2"/>
      <c r="BL17" s="2"/>
      <c r="BM17" s="2"/>
      <c r="BN17" s="2"/>
      <c r="BO17" s="2"/>
      <c r="BP17" s="2"/>
      <c r="BQ17" s="2"/>
      <c r="BR17" s="3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</row>
    <row r="18" spans="1:81" ht="16" x14ac:dyDescent="0.2">
      <c r="A18" s="1" t="s">
        <v>164</v>
      </c>
      <c r="B18" s="2">
        <v>259.89061800000002</v>
      </c>
      <c r="C18" s="2">
        <v>49.45</v>
      </c>
      <c r="D18" s="2">
        <v>0.64</v>
      </c>
      <c r="E18" s="2">
        <v>17.34</v>
      </c>
      <c r="F18" s="2">
        <v>7.55</v>
      </c>
      <c r="G18" s="2">
        <v>0</v>
      </c>
      <c r="H18" s="2">
        <v>9.84</v>
      </c>
      <c r="I18" s="2">
        <v>13.09</v>
      </c>
      <c r="J18" s="2">
        <v>1.66</v>
      </c>
      <c r="K18" s="2">
        <v>0.02</v>
      </c>
      <c r="L18" s="2">
        <v>0.14000000000000001</v>
      </c>
      <c r="M18" s="2">
        <v>4.1000000000000002E-2</v>
      </c>
      <c r="N18" s="2">
        <v>116</v>
      </c>
      <c r="O18" s="2">
        <v>824.53</v>
      </c>
      <c r="P18" s="2">
        <v>0.128</v>
      </c>
      <c r="Q18" s="2"/>
      <c r="R18" s="3"/>
      <c r="S18" s="2"/>
      <c r="T18" s="2"/>
      <c r="U18" s="2"/>
      <c r="V18" s="2"/>
      <c r="W18" s="2"/>
      <c r="X18" s="2"/>
      <c r="Y18" s="2"/>
      <c r="Z18" s="2"/>
      <c r="AA18" s="3"/>
      <c r="AB18" s="3"/>
      <c r="AC18" s="2"/>
      <c r="AD18" s="2"/>
      <c r="AE18" s="2"/>
      <c r="AF18" s="3"/>
      <c r="AG18" s="2"/>
      <c r="AH18" s="2"/>
      <c r="AI18" s="2"/>
      <c r="AJ18" s="2"/>
      <c r="AK18" s="1"/>
      <c r="AL18" s="2"/>
      <c r="AM18" s="1"/>
      <c r="AN18" s="2"/>
      <c r="AO18" s="1"/>
      <c r="AP18" s="3"/>
      <c r="AQ18" s="2"/>
      <c r="AR18" s="2"/>
      <c r="AS18" s="2"/>
      <c r="AT18" s="2"/>
      <c r="AU18" s="2"/>
      <c r="AV18" s="2"/>
      <c r="AW18" s="2"/>
      <c r="AX18" s="3"/>
      <c r="AY18" s="2"/>
      <c r="AZ18" s="3"/>
      <c r="BA18" s="2"/>
      <c r="BB18" s="2"/>
      <c r="BC18" s="2"/>
      <c r="BD18" s="2"/>
      <c r="BE18" s="2"/>
      <c r="BF18" s="2"/>
      <c r="BG18" s="2"/>
      <c r="BH18" s="3"/>
      <c r="BI18" s="2"/>
      <c r="BJ18" s="3"/>
      <c r="BK18" s="3"/>
      <c r="BL18" s="2"/>
      <c r="BM18" s="2"/>
      <c r="BN18" s="2"/>
      <c r="BO18" s="3"/>
      <c r="BP18" s="2"/>
      <c r="BQ18" s="2"/>
      <c r="BR18" s="3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</row>
    <row r="19" spans="1:81" ht="16" x14ac:dyDescent="0.2">
      <c r="A19" s="1" t="s">
        <v>165</v>
      </c>
      <c r="B19" s="2">
        <v>470.02607799999998</v>
      </c>
      <c r="C19" s="2">
        <v>51.55</v>
      </c>
      <c r="D19" s="2">
        <v>1.58</v>
      </c>
      <c r="E19" s="2">
        <v>14.99</v>
      </c>
      <c r="F19" s="2">
        <v>10.06</v>
      </c>
      <c r="G19" s="2">
        <v>0</v>
      </c>
      <c r="H19" s="2">
        <v>7.01</v>
      </c>
      <c r="I19" s="2">
        <v>11.52</v>
      </c>
      <c r="J19" s="2">
        <v>2.88</v>
      </c>
      <c r="K19" s="2">
        <v>7.0000000000000007E-2</v>
      </c>
      <c r="L19" s="2">
        <v>0.15</v>
      </c>
      <c r="M19" s="2">
        <v>0.248</v>
      </c>
      <c r="N19" s="2">
        <v>209</v>
      </c>
      <c r="O19" s="2">
        <v>1229.57</v>
      </c>
      <c r="P19" s="2">
        <v>0.13</v>
      </c>
      <c r="Q19" s="2"/>
      <c r="R19" s="3"/>
      <c r="S19" s="2"/>
      <c r="T19" s="2"/>
      <c r="U19" s="2"/>
      <c r="V19" s="2"/>
      <c r="W19" s="2"/>
      <c r="X19" s="2"/>
      <c r="Y19" s="2"/>
      <c r="Z19" s="2"/>
      <c r="AA19" s="2"/>
      <c r="AB19" s="3"/>
      <c r="AC19" s="2"/>
      <c r="AD19" s="2"/>
      <c r="AE19" s="2"/>
      <c r="AF19" s="3"/>
      <c r="AG19" s="2"/>
      <c r="AH19" s="2"/>
      <c r="AI19" s="2"/>
      <c r="AJ19" s="2"/>
      <c r="AK19" s="1"/>
      <c r="AL19" s="2"/>
      <c r="AM19" s="1"/>
      <c r="AN19" s="2"/>
      <c r="AO19" s="1"/>
      <c r="AP19" s="3"/>
      <c r="AQ19" s="2"/>
      <c r="AR19" s="2"/>
      <c r="AS19" s="2"/>
      <c r="AT19" s="2"/>
      <c r="AU19" s="2"/>
      <c r="AV19" s="2"/>
      <c r="AW19" s="2"/>
      <c r="AX19" s="3"/>
      <c r="AY19" s="2"/>
      <c r="AZ19" s="3"/>
      <c r="BA19" s="2"/>
      <c r="BB19" s="2"/>
      <c r="BC19" s="2"/>
      <c r="BD19" s="2"/>
      <c r="BE19" s="2"/>
      <c r="BF19" s="2"/>
      <c r="BG19" s="2"/>
      <c r="BH19" s="3"/>
      <c r="BI19" s="2"/>
      <c r="BJ19" s="3"/>
      <c r="BK19" s="2"/>
      <c r="BL19" s="2"/>
      <c r="BM19" s="2"/>
      <c r="BN19" s="2"/>
      <c r="BO19" s="2"/>
      <c r="BP19" s="2"/>
      <c r="BQ19" s="2"/>
      <c r="BR19" s="3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</row>
    <row r="20" spans="1:81" ht="16" x14ac:dyDescent="0.2">
      <c r="A20" s="1" t="s">
        <v>166</v>
      </c>
      <c r="B20" s="2">
        <v>434.47191199999997</v>
      </c>
      <c r="C20" s="2">
        <v>50.33</v>
      </c>
      <c r="D20" s="2">
        <v>1.84</v>
      </c>
      <c r="E20" s="2">
        <v>14.82</v>
      </c>
      <c r="F20" s="2">
        <v>9.9600000000000009</v>
      </c>
      <c r="G20" s="2">
        <v>0</v>
      </c>
      <c r="H20" s="2">
        <v>7.71</v>
      </c>
      <c r="I20" s="2">
        <v>10.8</v>
      </c>
      <c r="J20" s="2">
        <v>2.89</v>
      </c>
      <c r="K20" s="2">
        <v>0.73</v>
      </c>
      <c r="L20" s="2">
        <v>0.31</v>
      </c>
      <c r="M20" s="2">
        <v>0.66200000000000003</v>
      </c>
      <c r="N20" s="2">
        <v>177</v>
      </c>
      <c r="O20" s="2">
        <v>948.12</v>
      </c>
      <c r="P20" s="2">
        <v>0.13100000000000001</v>
      </c>
      <c r="Q20" s="2"/>
      <c r="R20" s="3"/>
      <c r="S20" s="2"/>
      <c r="T20" s="2"/>
      <c r="U20" s="2"/>
      <c r="V20" s="2"/>
      <c r="W20" s="2"/>
      <c r="X20" s="2"/>
      <c r="Y20" s="2"/>
      <c r="Z20" s="2"/>
      <c r="AA20" s="2"/>
      <c r="AB20" s="3"/>
      <c r="AC20" s="2"/>
      <c r="AD20" s="2"/>
      <c r="AE20" s="2"/>
      <c r="AF20" s="3"/>
      <c r="AG20" s="2"/>
      <c r="AH20" s="2"/>
      <c r="AI20" s="2"/>
      <c r="AJ20" s="2"/>
      <c r="AK20" s="1"/>
      <c r="AL20" s="2"/>
      <c r="AM20" s="1"/>
      <c r="AN20" s="2"/>
      <c r="AO20" s="1"/>
      <c r="AP20" s="3"/>
      <c r="AQ20" s="2"/>
      <c r="AR20" s="2"/>
      <c r="AS20" s="2"/>
      <c r="AT20" s="2"/>
      <c r="AU20" s="2"/>
      <c r="AV20" s="2"/>
      <c r="AW20" s="2"/>
      <c r="AX20" s="3"/>
      <c r="AY20" s="2"/>
      <c r="AZ20" s="3"/>
      <c r="BA20" s="2"/>
      <c r="BB20" s="2"/>
      <c r="BC20" s="2"/>
      <c r="BD20" s="2"/>
      <c r="BE20" s="2"/>
      <c r="BF20" s="2"/>
      <c r="BG20" s="2"/>
      <c r="BH20" s="3"/>
      <c r="BI20" s="2"/>
      <c r="BJ20" s="3"/>
      <c r="BK20" s="2"/>
      <c r="BL20" s="2"/>
      <c r="BM20" s="2"/>
      <c r="BN20" s="2"/>
      <c r="BO20" s="2"/>
      <c r="BP20" s="2"/>
      <c r="BQ20" s="2"/>
      <c r="BR20" s="3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</row>
    <row r="21" spans="1:81" ht="16" x14ac:dyDescent="0.2">
      <c r="A21" s="1" t="s">
        <v>167</v>
      </c>
      <c r="B21" s="2">
        <v>398.93875000000003</v>
      </c>
      <c r="C21" s="2">
        <v>50.57</v>
      </c>
      <c r="D21" s="2">
        <v>1.18</v>
      </c>
      <c r="E21" s="2">
        <v>15.81</v>
      </c>
      <c r="F21" s="2">
        <v>9.83</v>
      </c>
      <c r="G21" s="2">
        <v>0</v>
      </c>
      <c r="H21" s="2">
        <v>8.6199999999999992</v>
      </c>
      <c r="I21" s="2">
        <v>11.51</v>
      </c>
      <c r="J21" s="2">
        <v>2.37</v>
      </c>
      <c r="K21" s="2">
        <v>0.1</v>
      </c>
      <c r="L21" s="2">
        <v>8.4000000000000005E-2</v>
      </c>
      <c r="M21" s="2">
        <v>0.21199999999999999</v>
      </c>
      <c r="N21" s="2">
        <v>178</v>
      </c>
      <c r="O21" s="2">
        <v>1006.83</v>
      </c>
      <c r="P21" s="2">
        <v>0.13200000000000001</v>
      </c>
      <c r="Q21" s="2"/>
      <c r="R21" s="3"/>
      <c r="S21" s="2"/>
      <c r="T21" s="2"/>
      <c r="U21" s="2"/>
      <c r="V21" s="2"/>
      <c r="W21" s="2"/>
      <c r="X21" s="2"/>
      <c r="Y21" s="2"/>
      <c r="Z21" s="2"/>
      <c r="AA21" s="2"/>
      <c r="AB21" s="3"/>
      <c r="AC21" s="2"/>
      <c r="AD21" s="2"/>
      <c r="AE21" s="2"/>
      <c r="AF21" s="3"/>
      <c r="AG21" s="2"/>
      <c r="AH21" s="2"/>
      <c r="AI21" s="2"/>
      <c r="AJ21" s="2"/>
      <c r="AK21" s="1"/>
      <c r="AL21" s="2"/>
      <c r="AM21" s="1"/>
      <c r="AN21" s="2"/>
      <c r="AO21" s="1"/>
      <c r="AP21" s="3"/>
      <c r="AQ21" s="2"/>
      <c r="AR21" s="2"/>
      <c r="AS21" s="2"/>
      <c r="AT21" s="2"/>
      <c r="AU21" s="2"/>
      <c r="AV21" s="2"/>
      <c r="AW21" s="2"/>
      <c r="AX21" s="3"/>
      <c r="AY21" s="2"/>
      <c r="AZ21" s="3"/>
      <c r="BA21" s="2"/>
      <c r="BB21" s="2"/>
      <c r="BC21" s="2"/>
      <c r="BD21" s="2"/>
      <c r="BE21" s="2"/>
      <c r="BF21" s="2"/>
      <c r="BG21" s="2"/>
      <c r="BH21" s="3"/>
      <c r="BI21" s="2"/>
      <c r="BJ21" s="3"/>
      <c r="BK21" s="2"/>
      <c r="BL21" s="2"/>
      <c r="BM21" s="2"/>
      <c r="BN21" s="2"/>
      <c r="BO21" s="2"/>
      <c r="BP21" s="2"/>
      <c r="BQ21" s="2"/>
      <c r="BR21" s="3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</row>
    <row r="22" spans="1:81" ht="16" x14ac:dyDescent="0.2">
      <c r="A22" s="1" t="s">
        <v>168</v>
      </c>
      <c r="B22" s="2">
        <v>257.64722599999999</v>
      </c>
      <c r="C22" s="2">
        <v>50.14</v>
      </c>
      <c r="D22" s="2">
        <v>0.64</v>
      </c>
      <c r="E22" s="2">
        <v>17.350000000000001</v>
      </c>
      <c r="F22" s="2">
        <v>7.61</v>
      </c>
      <c r="G22" s="2">
        <v>0</v>
      </c>
      <c r="H22" s="2">
        <v>9.89</v>
      </c>
      <c r="I22" s="2">
        <v>13.06</v>
      </c>
      <c r="J22" s="2">
        <v>1.64</v>
      </c>
      <c r="K22" s="2">
        <v>0.02</v>
      </c>
      <c r="L22" s="2">
        <v>0.09</v>
      </c>
      <c r="M22" s="2">
        <v>4.1000000000000002E-2</v>
      </c>
      <c r="N22" s="2">
        <v>115</v>
      </c>
      <c r="O22" s="2">
        <v>824.41</v>
      </c>
      <c r="P22" s="2">
        <v>0.13500000000000001</v>
      </c>
      <c r="Q22" s="2"/>
      <c r="R22" s="3"/>
      <c r="S22" s="2"/>
      <c r="T22" s="2"/>
      <c r="U22" s="2"/>
      <c r="V22" s="2"/>
      <c r="W22" s="2"/>
      <c r="X22" s="2"/>
      <c r="Y22" s="2"/>
      <c r="Z22" s="2"/>
      <c r="AA22" s="3"/>
      <c r="AB22" s="3"/>
      <c r="AC22" s="2"/>
      <c r="AD22" s="2"/>
      <c r="AE22" s="2"/>
      <c r="AF22" s="3"/>
      <c r="AG22" s="2"/>
      <c r="AH22" s="2"/>
      <c r="AI22" s="2"/>
      <c r="AJ22" s="2"/>
      <c r="AK22" s="1"/>
      <c r="AL22" s="2"/>
      <c r="AM22" s="1"/>
      <c r="AN22" s="2"/>
      <c r="AO22" s="1"/>
      <c r="AP22" s="3"/>
      <c r="AQ22" s="2"/>
      <c r="AR22" s="2"/>
      <c r="AS22" s="2"/>
      <c r="AT22" s="2"/>
      <c r="AU22" s="2"/>
      <c r="AV22" s="2"/>
      <c r="AW22" s="2"/>
      <c r="AX22" s="3"/>
      <c r="AY22" s="2"/>
      <c r="AZ22" s="3"/>
      <c r="BA22" s="2"/>
      <c r="BB22" s="2"/>
      <c r="BC22" s="2"/>
      <c r="BD22" s="2"/>
      <c r="BE22" s="2"/>
      <c r="BF22" s="2"/>
      <c r="BG22" s="2"/>
      <c r="BH22" s="3"/>
      <c r="BI22" s="2"/>
      <c r="BJ22" s="3"/>
      <c r="BK22" s="3"/>
      <c r="BL22" s="2"/>
      <c r="BM22" s="2"/>
      <c r="BN22" s="2"/>
      <c r="BO22" s="3"/>
      <c r="BP22" s="2"/>
      <c r="BQ22" s="2"/>
      <c r="BR22" s="3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</row>
    <row r="23" spans="1:81" ht="16" x14ac:dyDescent="0.2">
      <c r="A23" s="1" t="s">
        <v>169</v>
      </c>
      <c r="B23" s="2">
        <v>399.40967899999998</v>
      </c>
      <c r="C23" s="2">
        <v>51.2</v>
      </c>
      <c r="D23" s="2">
        <v>1.0900000000000001</v>
      </c>
      <c r="E23" s="2">
        <v>14.8</v>
      </c>
      <c r="F23" s="2">
        <v>9.76</v>
      </c>
      <c r="G23" s="2">
        <v>0</v>
      </c>
      <c r="H23" s="2">
        <v>7.58</v>
      </c>
      <c r="I23" s="2">
        <v>12.51</v>
      </c>
      <c r="J23" s="2">
        <v>2.19</v>
      </c>
      <c r="K23" s="2">
        <v>0.12</v>
      </c>
      <c r="L23" s="2">
        <v>0.15</v>
      </c>
      <c r="M23" s="2">
        <v>0.29199999999999998</v>
      </c>
      <c r="N23" s="2">
        <v>176</v>
      </c>
      <c r="O23" s="2">
        <v>1090.8900000000001</v>
      </c>
      <c r="P23" s="2">
        <v>0.13500000000000001</v>
      </c>
      <c r="Q23" s="2"/>
      <c r="R23" s="3"/>
      <c r="S23" s="2"/>
      <c r="T23" s="2"/>
      <c r="U23" s="2"/>
      <c r="V23" s="2"/>
      <c r="W23" s="2"/>
      <c r="X23" s="2"/>
      <c r="Y23" s="2"/>
      <c r="Z23" s="2"/>
      <c r="AA23" s="2"/>
      <c r="AB23" s="3"/>
      <c r="AC23" s="2"/>
      <c r="AD23" s="2"/>
      <c r="AE23" s="2"/>
      <c r="AF23" s="3"/>
      <c r="AG23" s="2"/>
      <c r="AH23" s="2"/>
      <c r="AI23" s="2"/>
      <c r="AJ23" s="2"/>
      <c r="AK23" s="1"/>
      <c r="AL23" s="2"/>
      <c r="AM23" s="1"/>
      <c r="AN23" s="2"/>
      <c r="AO23" s="1"/>
      <c r="AP23" s="3"/>
      <c r="AQ23" s="2"/>
      <c r="AR23" s="2"/>
      <c r="AS23" s="2"/>
      <c r="AT23" s="2"/>
      <c r="AU23" s="2"/>
      <c r="AV23" s="2"/>
      <c r="AW23" s="2"/>
      <c r="AX23" s="3"/>
      <c r="AY23" s="2"/>
      <c r="AZ23" s="3"/>
      <c r="BA23" s="2"/>
      <c r="BB23" s="2"/>
      <c r="BC23" s="2"/>
      <c r="BD23" s="2"/>
      <c r="BE23" s="2"/>
      <c r="BF23" s="2"/>
      <c r="BG23" s="2"/>
      <c r="BH23" s="3"/>
      <c r="BI23" s="2"/>
      <c r="BJ23" s="3"/>
      <c r="BK23" s="2"/>
      <c r="BL23" s="2"/>
      <c r="BM23" s="2"/>
      <c r="BN23" s="2"/>
      <c r="BO23" s="2"/>
      <c r="BP23" s="2"/>
      <c r="BQ23" s="2"/>
      <c r="BR23" s="3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</row>
    <row r="24" spans="1:81" ht="16" x14ac:dyDescent="0.2">
      <c r="A24" s="1" t="s">
        <v>170</v>
      </c>
      <c r="B24" s="2">
        <v>407.96607399999999</v>
      </c>
      <c r="C24" s="2">
        <v>50.78</v>
      </c>
      <c r="D24" s="2">
        <v>1.1399999999999999</v>
      </c>
      <c r="E24" s="2">
        <v>15.27</v>
      </c>
      <c r="F24" s="2">
        <v>9.32</v>
      </c>
      <c r="G24" s="2">
        <v>0</v>
      </c>
      <c r="H24" s="2">
        <v>8.69</v>
      </c>
      <c r="I24" s="2">
        <v>12.53</v>
      </c>
      <c r="J24" s="2">
        <v>2.36</v>
      </c>
      <c r="K24" s="2">
        <v>0.04</v>
      </c>
      <c r="L24" s="2">
        <v>7.0999999999999994E-2</v>
      </c>
      <c r="M24" s="2">
        <v>8.3000000000000004E-2</v>
      </c>
      <c r="N24" s="2">
        <v>183</v>
      </c>
      <c r="O24" s="2">
        <v>1119.3800000000001</v>
      </c>
      <c r="P24" s="2">
        <v>0.13600000000000001</v>
      </c>
      <c r="Q24" s="2"/>
      <c r="R24" s="3"/>
      <c r="S24" s="2"/>
      <c r="T24" s="2"/>
      <c r="U24" s="2"/>
      <c r="V24" s="2"/>
      <c r="W24" s="2"/>
      <c r="X24" s="2"/>
      <c r="Y24" s="2"/>
      <c r="Z24" s="2"/>
      <c r="AA24" s="3"/>
      <c r="AB24" s="3"/>
      <c r="AC24" s="2"/>
      <c r="AD24" s="2"/>
      <c r="AE24" s="2"/>
      <c r="AF24" s="3"/>
      <c r="AG24" s="2"/>
      <c r="AH24" s="2"/>
      <c r="AI24" s="2"/>
      <c r="AJ24" s="2"/>
      <c r="AK24" s="1"/>
      <c r="AL24" s="2"/>
      <c r="AM24" s="1"/>
      <c r="AN24" s="2"/>
      <c r="AO24" s="1"/>
      <c r="AP24" s="3"/>
      <c r="AQ24" s="2"/>
      <c r="AR24" s="2"/>
      <c r="AS24" s="2"/>
      <c r="AT24" s="2"/>
      <c r="AU24" s="2"/>
      <c r="AV24" s="2"/>
      <c r="AW24" s="2"/>
      <c r="AX24" s="3"/>
      <c r="AY24" s="2"/>
      <c r="AZ24" s="3"/>
      <c r="BA24" s="2"/>
      <c r="BB24" s="2"/>
      <c r="BC24" s="2"/>
      <c r="BD24" s="2"/>
      <c r="BE24" s="2"/>
      <c r="BF24" s="2"/>
      <c r="BG24" s="2"/>
      <c r="BH24" s="3"/>
      <c r="BI24" s="2"/>
      <c r="BJ24" s="3"/>
      <c r="BK24" s="3"/>
      <c r="BL24" s="2"/>
      <c r="BM24" s="2"/>
      <c r="BN24" s="2"/>
      <c r="BO24" s="2"/>
      <c r="BP24" s="2"/>
      <c r="BQ24" s="2"/>
      <c r="BR24" s="3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</row>
    <row r="25" spans="1:81" ht="16" x14ac:dyDescent="0.2">
      <c r="A25" s="1" t="s">
        <v>171</v>
      </c>
      <c r="B25" s="2">
        <v>430.208822</v>
      </c>
      <c r="C25" s="2">
        <v>50.37</v>
      </c>
      <c r="D25" s="2">
        <v>1.69</v>
      </c>
      <c r="E25" s="2">
        <v>15.72</v>
      </c>
      <c r="F25" s="2">
        <v>10.61</v>
      </c>
      <c r="G25" s="2">
        <v>0</v>
      </c>
      <c r="H25" s="2">
        <v>8.16</v>
      </c>
      <c r="I25" s="2">
        <v>11.17</v>
      </c>
      <c r="J25" s="2">
        <v>2.86</v>
      </c>
      <c r="K25" s="2">
        <v>0.14000000000000001</v>
      </c>
      <c r="L25" s="2">
        <v>0.19</v>
      </c>
      <c r="M25" s="2">
        <v>0.23499999999999999</v>
      </c>
      <c r="N25" s="2">
        <v>191</v>
      </c>
      <c r="O25" s="2">
        <v>1169.3499999999999</v>
      </c>
      <c r="P25" s="2">
        <v>0.13700000000000001</v>
      </c>
      <c r="Q25" s="2"/>
      <c r="R25" s="3"/>
      <c r="S25" s="2"/>
      <c r="T25" s="2"/>
      <c r="U25" s="2"/>
      <c r="V25" s="2"/>
      <c r="W25" s="2"/>
      <c r="X25" s="2"/>
      <c r="Y25" s="2"/>
      <c r="Z25" s="2"/>
      <c r="AA25" s="2"/>
      <c r="AB25" s="3"/>
      <c r="AC25" s="2"/>
      <c r="AD25" s="2"/>
      <c r="AE25" s="2"/>
      <c r="AF25" s="3"/>
      <c r="AG25" s="2"/>
      <c r="AH25" s="2"/>
      <c r="AI25" s="2"/>
      <c r="AJ25" s="2"/>
      <c r="AK25" s="1"/>
      <c r="AL25" s="2"/>
      <c r="AM25" s="1"/>
      <c r="AN25" s="2"/>
      <c r="AO25" s="1"/>
      <c r="AP25" s="3"/>
      <c r="AQ25" s="2"/>
      <c r="AR25" s="2"/>
      <c r="AS25" s="2"/>
      <c r="AT25" s="2"/>
      <c r="AU25" s="2"/>
      <c r="AV25" s="2"/>
      <c r="AW25" s="2"/>
      <c r="AX25" s="3"/>
      <c r="AY25" s="2"/>
      <c r="AZ25" s="3"/>
      <c r="BA25" s="2"/>
      <c r="BB25" s="2"/>
      <c r="BC25" s="2"/>
      <c r="BD25" s="2"/>
      <c r="BE25" s="2"/>
      <c r="BF25" s="2"/>
      <c r="BG25" s="2"/>
      <c r="BH25" s="3"/>
      <c r="BI25" s="2"/>
      <c r="BJ25" s="3"/>
      <c r="BK25" s="2"/>
      <c r="BL25" s="2"/>
      <c r="BM25" s="2"/>
      <c r="BN25" s="2"/>
      <c r="BO25" s="2"/>
      <c r="BP25" s="2"/>
      <c r="BQ25" s="2"/>
      <c r="BR25" s="3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</row>
    <row r="26" spans="1:81" ht="16" x14ac:dyDescent="0.2">
      <c r="A26" s="1" t="s">
        <v>172</v>
      </c>
      <c r="B26" s="2">
        <v>531.63355799999999</v>
      </c>
      <c r="C26" s="2">
        <v>52.15</v>
      </c>
      <c r="D26" s="2">
        <v>1.39</v>
      </c>
      <c r="E26" s="2">
        <v>14.94</v>
      </c>
      <c r="F26" s="2">
        <v>9.3699999999999992</v>
      </c>
      <c r="G26" s="2">
        <v>0</v>
      </c>
      <c r="H26" s="2">
        <v>7.86</v>
      </c>
      <c r="I26" s="2">
        <v>11.69</v>
      </c>
      <c r="J26" s="2">
        <v>2.44</v>
      </c>
      <c r="K26" s="2">
        <v>0.27</v>
      </c>
      <c r="L26" s="2">
        <v>0.13100000000000001</v>
      </c>
      <c r="M26" s="2">
        <v>0.35899999999999999</v>
      </c>
      <c r="N26" s="2">
        <v>237</v>
      </c>
      <c r="O26" s="2">
        <v>1033.45</v>
      </c>
      <c r="P26" s="2">
        <v>0.13800000000000001</v>
      </c>
      <c r="Q26" s="2"/>
      <c r="R26" s="3"/>
      <c r="S26" s="2"/>
      <c r="T26" s="2"/>
      <c r="U26" s="2"/>
      <c r="V26" s="2"/>
      <c r="W26" s="2"/>
      <c r="X26" s="2"/>
      <c r="Y26" s="2"/>
      <c r="Z26" s="2"/>
      <c r="AA26" s="2"/>
      <c r="AB26" s="3"/>
      <c r="AC26" s="2"/>
      <c r="AD26" s="2"/>
      <c r="AE26" s="2"/>
      <c r="AF26" s="3"/>
      <c r="AG26" s="2"/>
      <c r="AH26" s="2"/>
      <c r="AI26" s="2"/>
      <c r="AJ26" s="2"/>
      <c r="AK26" s="1"/>
      <c r="AL26" s="2"/>
      <c r="AM26" s="1"/>
      <c r="AN26" s="2"/>
      <c r="AO26" s="1"/>
      <c r="AP26" s="3"/>
      <c r="AQ26" s="2"/>
      <c r="AR26" s="2"/>
      <c r="AS26" s="2"/>
      <c r="AT26" s="2"/>
      <c r="AU26" s="2"/>
      <c r="AV26" s="2"/>
      <c r="AW26" s="2"/>
      <c r="AX26" s="3"/>
      <c r="AY26" s="2"/>
      <c r="AZ26" s="3"/>
      <c r="BA26" s="2"/>
      <c r="BB26" s="2"/>
      <c r="BC26" s="2"/>
      <c r="BD26" s="2"/>
      <c r="BE26" s="2"/>
      <c r="BF26" s="2"/>
      <c r="BG26" s="2"/>
      <c r="BH26" s="3"/>
      <c r="BI26" s="2"/>
      <c r="BJ26" s="3"/>
      <c r="BK26" s="2"/>
      <c r="BL26" s="2"/>
      <c r="BM26" s="2"/>
      <c r="BN26" s="2"/>
      <c r="BO26" s="2"/>
      <c r="BP26" s="2"/>
      <c r="BQ26" s="2"/>
      <c r="BR26" s="3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</row>
    <row r="27" spans="1:81" ht="16" x14ac:dyDescent="0.2">
      <c r="A27" s="1" t="s">
        <v>173</v>
      </c>
      <c r="B27" s="2">
        <v>262.51015100000001</v>
      </c>
      <c r="C27" s="2">
        <v>49.72</v>
      </c>
      <c r="D27" s="2">
        <v>0.63</v>
      </c>
      <c r="E27" s="2">
        <v>17.52</v>
      </c>
      <c r="F27" s="2">
        <v>7.47</v>
      </c>
      <c r="G27" s="2">
        <v>0</v>
      </c>
      <c r="H27" s="2">
        <v>9.9600000000000009</v>
      </c>
      <c r="I27" s="2">
        <v>13.01</v>
      </c>
      <c r="J27" s="2">
        <v>1.65</v>
      </c>
      <c r="K27" s="2">
        <v>0.02</v>
      </c>
      <c r="L27" s="2">
        <v>0.12</v>
      </c>
      <c r="M27" s="2">
        <v>4.1000000000000002E-2</v>
      </c>
      <c r="N27" s="2">
        <v>117</v>
      </c>
      <c r="O27" s="2">
        <v>819.41</v>
      </c>
      <c r="P27" s="2">
        <v>0.13800000000000001</v>
      </c>
      <c r="Q27" s="2"/>
      <c r="R27" s="3"/>
      <c r="S27" s="2"/>
      <c r="T27" s="2"/>
      <c r="U27" s="2"/>
      <c r="V27" s="2"/>
      <c r="W27" s="2"/>
      <c r="X27" s="2"/>
      <c r="Y27" s="2"/>
      <c r="Z27" s="2"/>
      <c r="AA27" s="3"/>
      <c r="AB27" s="3"/>
      <c r="AC27" s="2"/>
      <c r="AD27" s="2"/>
      <c r="AE27" s="2"/>
      <c r="AF27" s="3"/>
      <c r="AG27" s="2"/>
      <c r="AH27" s="2"/>
      <c r="AI27" s="2"/>
      <c r="AJ27" s="2"/>
      <c r="AK27" s="1"/>
      <c r="AL27" s="2"/>
      <c r="AM27" s="1"/>
      <c r="AN27" s="2"/>
      <c r="AO27" s="1"/>
      <c r="AP27" s="3"/>
      <c r="AQ27" s="2"/>
      <c r="AR27" s="2"/>
      <c r="AS27" s="2"/>
      <c r="AT27" s="2"/>
      <c r="AU27" s="2"/>
      <c r="AV27" s="2"/>
      <c r="AW27" s="2"/>
      <c r="AX27" s="3"/>
      <c r="AY27" s="2"/>
      <c r="AZ27" s="3"/>
      <c r="BA27" s="2"/>
      <c r="BB27" s="2"/>
      <c r="BC27" s="2"/>
      <c r="BD27" s="2"/>
      <c r="BE27" s="2"/>
      <c r="BF27" s="2"/>
      <c r="BG27" s="2"/>
      <c r="BH27" s="3"/>
      <c r="BI27" s="2"/>
      <c r="BJ27" s="3"/>
      <c r="BK27" s="3"/>
      <c r="BL27" s="2"/>
      <c r="BM27" s="2"/>
      <c r="BN27" s="2"/>
      <c r="BO27" s="3"/>
      <c r="BP27" s="2"/>
      <c r="BQ27" s="2"/>
      <c r="BR27" s="3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</row>
    <row r="28" spans="1:81" ht="16" x14ac:dyDescent="0.2">
      <c r="A28" s="1" t="s">
        <v>174</v>
      </c>
      <c r="B28" s="2">
        <v>425.31230499999998</v>
      </c>
      <c r="C28" s="2">
        <v>50.14</v>
      </c>
      <c r="D28" s="2">
        <v>1.46</v>
      </c>
      <c r="E28" s="2">
        <v>14.81</v>
      </c>
      <c r="F28" s="2">
        <v>10.3</v>
      </c>
      <c r="G28" s="2">
        <v>0</v>
      </c>
      <c r="H28" s="2">
        <v>8.67</v>
      </c>
      <c r="I28" s="2">
        <v>11.23</v>
      </c>
      <c r="J28" s="2">
        <v>2.5299999999999998</v>
      </c>
      <c r="K28" s="2">
        <v>7.0000000000000007E-2</v>
      </c>
      <c r="L28" s="2">
        <v>0.15</v>
      </c>
      <c r="M28" s="2">
        <v>0.23499999999999999</v>
      </c>
      <c r="N28" s="2">
        <v>189</v>
      </c>
      <c r="O28" s="2">
        <v>1189.3599999999999</v>
      </c>
      <c r="P28" s="2">
        <v>0.13900000000000001</v>
      </c>
      <c r="Q28" s="2"/>
      <c r="R28" s="3"/>
      <c r="S28" s="2"/>
      <c r="T28" s="2"/>
      <c r="U28" s="2"/>
      <c r="V28" s="2"/>
      <c r="W28" s="2"/>
      <c r="X28" s="2"/>
      <c r="Y28" s="2"/>
      <c r="Z28" s="2"/>
      <c r="AA28" s="2"/>
      <c r="AB28" s="3"/>
      <c r="AC28" s="2"/>
      <c r="AD28" s="2"/>
      <c r="AE28" s="2"/>
      <c r="AF28" s="3"/>
      <c r="AG28" s="2"/>
      <c r="AH28" s="2"/>
      <c r="AI28" s="2"/>
      <c r="AJ28" s="2"/>
      <c r="AK28" s="1"/>
      <c r="AL28" s="2"/>
      <c r="AM28" s="1"/>
      <c r="AN28" s="2"/>
      <c r="AO28" s="1"/>
      <c r="AP28" s="3"/>
      <c r="AQ28" s="2"/>
      <c r="AR28" s="2"/>
      <c r="AS28" s="2"/>
      <c r="AT28" s="2"/>
      <c r="AU28" s="2"/>
      <c r="AV28" s="2"/>
      <c r="AW28" s="2"/>
      <c r="AX28" s="3"/>
      <c r="AY28" s="2"/>
      <c r="AZ28" s="3"/>
      <c r="BA28" s="2"/>
      <c r="BB28" s="2"/>
      <c r="BC28" s="2"/>
      <c r="BD28" s="2"/>
      <c r="BE28" s="2"/>
      <c r="BF28" s="2"/>
      <c r="BG28" s="2"/>
      <c r="BH28" s="3"/>
      <c r="BI28" s="2"/>
      <c r="BJ28" s="3"/>
      <c r="BK28" s="2"/>
      <c r="BL28" s="2"/>
      <c r="BM28" s="2"/>
      <c r="BN28" s="2"/>
      <c r="BO28" s="2"/>
      <c r="BP28" s="2"/>
      <c r="BQ28" s="2"/>
      <c r="BR28" s="3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</row>
    <row r="29" spans="1:81" ht="16" x14ac:dyDescent="0.2">
      <c r="A29" s="1" t="s">
        <v>175</v>
      </c>
      <c r="B29" s="2">
        <v>583.890849</v>
      </c>
      <c r="C29" s="2">
        <v>50.92</v>
      </c>
      <c r="D29" s="2">
        <v>1.54</v>
      </c>
      <c r="E29" s="2">
        <v>14.26</v>
      </c>
      <c r="F29" s="2">
        <v>9.77</v>
      </c>
      <c r="G29" s="2">
        <v>0</v>
      </c>
      <c r="H29" s="2">
        <v>8.31</v>
      </c>
      <c r="I29" s="2">
        <v>10.94</v>
      </c>
      <c r="J29" s="2">
        <v>2.72</v>
      </c>
      <c r="K29" s="2">
        <v>0.11</v>
      </c>
      <c r="L29" s="2">
        <v>0.124</v>
      </c>
      <c r="M29" s="2">
        <v>0.28399999999999997</v>
      </c>
      <c r="N29" s="2">
        <v>263</v>
      </c>
      <c r="O29" s="2">
        <v>1150.51</v>
      </c>
      <c r="P29" s="2">
        <v>0.13900000000000001</v>
      </c>
      <c r="Q29" s="2"/>
      <c r="R29" s="3"/>
      <c r="S29" s="2"/>
      <c r="T29" s="2"/>
      <c r="U29" s="2"/>
      <c r="V29" s="2"/>
      <c r="W29" s="2"/>
      <c r="X29" s="2"/>
      <c r="Y29" s="2"/>
      <c r="Z29" s="2"/>
      <c r="AA29" s="2"/>
      <c r="AB29" s="3"/>
      <c r="AC29" s="2"/>
      <c r="AD29" s="2"/>
      <c r="AE29" s="2"/>
      <c r="AF29" s="3"/>
      <c r="AG29" s="2"/>
      <c r="AH29" s="2"/>
      <c r="AI29" s="2"/>
      <c r="AJ29" s="2"/>
      <c r="AK29" s="1"/>
      <c r="AL29" s="2"/>
      <c r="AM29" s="1"/>
      <c r="AN29" s="2"/>
      <c r="AO29" s="1"/>
      <c r="AP29" s="3"/>
      <c r="AQ29" s="2"/>
      <c r="AR29" s="2"/>
      <c r="AS29" s="2"/>
      <c r="AT29" s="2"/>
      <c r="AU29" s="2"/>
      <c r="AV29" s="2"/>
      <c r="AW29" s="2"/>
      <c r="AX29" s="3"/>
      <c r="AY29" s="2"/>
      <c r="AZ29" s="3"/>
      <c r="BA29" s="2"/>
      <c r="BB29" s="2"/>
      <c r="BC29" s="2"/>
      <c r="BD29" s="2"/>
      <c r="BE29" s="2"/>
      <c r="BF29" s="2"/>
      <c r="BG29" s="2"/>
      <c r="BH29" s="3"/>
      <c r="BI29" s="2"/>
      <c r="BJ29" s="3"/>
      <c r="BK29" s="2"/>
      <c r="BL29" s="2"/>
      <c r="BM29" s="2"/>
      <c r="BN29" s="2"/>
      <c r="BO29" s="2"/>
      <c r="BP29" s="2"/>
      <c r="BQ29" s="2"/>
      <c r="BR29" s="3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</row>
    <row r="30" spans="1:81" ht="16" x14ac:dyDescent="0.2">
      <c r="A30" s="1" t="s">
        <v>176</v>
      </c>
      <c r="B30" s="2">
        <v>541.34058300000004</v>
      </c>
      <c r="C30" s="2">
        <v>50.79</v>
      </c>
      <c r="D30" s="2">
        <v>1.2</v>
      </c>
      <c r="E30" s="2">
        <v>15.43</v>
      </c>
      <c r="F30" s="2">
        <v>9.4499999999999993</v>
      </c>
      <c r="G30" s="2">
        <v>0</v>
      </c>
      <c r="H30" s="2">
        <v>8.59</v>
      </c>
      <c r="I30" s="2">
        <v>12.06</v>
      </c>
      <c r="J30" s="2">
        <v>2.6</v>
      </c>
      <c r="K30" s="2">
        <v>0.05</v>
      </c>
      <c r="L30" s="2">
        <v>8.1000000000000003E-2</v>
      </c>
      <c r="M30" s="2">
        <v>0.161</v>
      </c>
      <c r="N30" s="2">
        <v>245</v>
      </c>
      <c r="O30" s="2">
        <v>1070.22</v>
      </c>
      <c r="P30" s="2">
        <v>0.14000000000000001</v>
      </c>
      <c r="Q30" s="2"/>
      <c r="R30" s="3"/>
      <c r="S30" s="2"/>
      <c r="T30" s="2"/>
      <c r="U30" s="2"/>
      <c r="V30" s="2"/>
      <c r="W30" s="2"/>
      <c r="X30" s="2"/>
      <c r="Y30" s="2"/>
      <c r="Z30" s="2"/>
      <c r="AA30" s="2"/>
      <c r="AB30" s="3"/>
      <c r="AC30" s="2"/>
      <c r="AD30" s="2"/>
      <c r="AE30" s="2"/>
      <c r="AF30" s="3"/>
      <c r="AG30" s="2"/>
      <c r="AH30" s="2"/>
      <c r="AI30" s="2"/>
      <c r="AJ30" s="2"/>
      <c r="AK30" s="1"/>
      <c r="AL30" s="2"/>
      <c r="AM30" s="1"/>
      <c r="AN30" s="2"/>
      <c r="AO30" s="1"/>
      <c r="AP30" s="3"/>
      <c r="AQ30" s="2"/>
      <c r="AR30" s="2"/>
      <c r="AS30" s="2"/>
      <c r="AT30" s="2"/>
      <c r="AU30" s="2"/>
      <c r="AV30" s="2"/>
      <c r="AW30" s="2"/>
      <c r="AX30" s="3"/>
      <c r="AY30" s="2"/>
      <c r="AZ30" s="3"/>
      <c r="BA30" s="2"/>
      <c r="BB30" s="2"/>
      <c r="BC30" s="2"/>
      <c r="BD30" s="2"/>
      <c r="BE30" s="2"/>
      <c r="BF30" s="2"/>
      <c r="BG30" s="2"/>
      <c r="BH30" s="3"/>
      <c r="BI30" s="2"/>
      <c r="BJ30" s="3"/>
      <c r="BK30" s="3"/>
      <c r="BL30" s="2"/>
      <c r="BM30" s="2"/>
      <c r="BN30" s="2"/>
      <c r="BO30" s="2"/>
      <c r="BP30" s="2"/>
      <c r="BQ30" s="2"/>
      <c r="BR30" s="3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</row>
    <row r="31" spans="1:81" ht="16" x14ac:dyDescent="0.2">
      <c r="A31" s="1" t="s">
        <v>177</v>
      </c>
      <c r="B31" s="2">
        <v>435.55812700000001</v>
      </c>
      <c r="C31" s="2">
        <v>51.42</v>
      </c>
      <c r="D31" s="2">
        <v>1.5</v>
      </c>
      <c r="E31" s="2">
        <v>15.39</v>
      </c>
      <c r="F31" s="2">
        <v>9.93</v>
      </c>
      <c r="G31" s="2">
        <v>0</v>
      </c>
      <c r="H31" s="2">
        <v>7.37</v>
      </c>
      <c r="I31" s="2">
        <v>11.39</v>
      </c>
      <c r="J31" s="2">
        <v>2.82</v>
      </c>
      <c r="K31" s="2">
        <v>0.09</v>
      </c>
      <c r="L31" s="2">
        <v>0.14000000000000001</v>
      </c>
      <c r="M31" s="2">
        <v>0.24099999999999999</v>
      </c>
      <c r="N31" s="2">
        <v>194</v>
      </c>
      <c r="O31" s="2">
        <v>1178.6199999999999</v>
      </c>
      <c r="P31" s="2">
        <v>0.14000000000000001</v>
      </c>
      <c r="Q31" s="2"/>
      <c r="R31" s="3"/>
      <c r="S31" s="2"/>
      <c r="T31" s="2"/>
      <c r="U31" s="2"/>
      <c r="V31" s="2"/>
      <c r="W31" s="2"/>
      <c r="X31" s="2"/>
      <c r="Y31" s="2"/>
      <c r="Z31" s="2"/>
      <c r="AA31" s="2"/>
      <c r="AB31" s="3"/>
      <c r="AC31" s="2"/>
      <c r="AD31" s="2"/>
      <c r="AE31" s="2"/>
      <c r="AF31" s="3"/>
      <c r="AG31" s="2"/>
      <c r="AH31" s="2"/>
      <c r="AI31" s="2"/>
      <c r="AJ31" s="2"/>
      <c r="AK31" s="1"/>
      <c r="AL31" s="2"/>
      <c r="AM31" s="1"/>
      <c r="AN31" s="2"/>
      <c r="AO31" s="1"/>
      <c r="AP31" s="3"/>
      <c r="AQ31" s="2"/>
      <c r="AR31" s="2"/>
      <c r="AS31" s="2"/>
      <c r="AT31" s="2"/>
      <c r="AU31" s="2"/>
      <c r="AV31" s="2"/>
      <c r="AW31" s="2"/>
      <c r="AX31" s="3"/>
      <c r="AY31" s="2"/>
      <c r="AZ31" s="3"/>
      <c r="BA31" s="2"/>
      <c r="BB31" s="2"/>
      <c r="BC31" s="2"/>
      <c r="BD31" s="2"/>
      <c r="BE31" s="2"/>
      <c r="BF31" s="2"/>
      <c r="BG31" s="2"/>
      <c r="BH31" s="3"/>
      <c r="BI31" s="2"/>
      <c r="BJ31" s="3"/>
      <c r="BK31" s="2"/>
      <c r="BL31" s="2"/>
      <c r="BM31" s="2"/>
      <c r="BN31" s="2"/>
      <c r="BO31" s="2"/>
      <c r="BP31" s="2"/>
      <c r="BQ31" s="2"/>
      <c r="BR31" s="3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</row>
    <row r="32" spans="1:81" ht="16" x14ac:dyDescent="0.2">
      <c r="A32" s="1" t="s">
        <v>178</v>
      </c>
      <c r="B32" s="2">
        <v>480.116896</v>
      </c>
      <c r="C32" s="2">
        <v>51.98</v>
      </c>
      <c r="D32" s="2">
        <v>1.52</v>
      </c>
      <c r="E32" s="2">
        <v>14.79</v>
      </c>
      <c r="F32" s="2">
        <v>9.69</v>
      </c>
      <c r="G32" s="2">
        <v>0</v>
      </c>
      <c r="H32" s="2">
        <v>7.91</v>
      </c>
      <c r="I32" s="2">
        <v>11.4</v>
      </c>
      <c r="J32" s="2">
        <v>2.58</v>
      </c>
      <c r="K32" s="2">
        <v>0.31</v>
      </c>
      <c r="L32" s="2">
        <v>0.15</v>
      </c>
      <c r="M32" s="2">
        <v>0.436</v>
      </c>
      <c r="N32" s="2">
        <v>210</v>
      </c>
      <c r="O32" s="2">
        <v>1062.1099999999999</v>
      </c>
      <c r="P32" s="2">
        <v>0.14099999999999999</v>
      </c>
      <c r="Q32" s="2"/>
      <c r="R32" s="3"/>
      <c r="S32" s="2"/>
      <c r="T32" s="2"/>
      <c r="U32" s="2"/>
      <c r="V32" s="2"/>
      <c r="W32" s="2"/>
      <c r="X32" s="2"/>
      <c r="Y32" s="2"/>
      <c r="Z32" s="2"/>
      <c r="AA32" s="2"/>
      <c r="AB32" s="3"/>
      <c r="AC32" s="2"/>
      <c r="AD32" s="2"/>
      <c r="AE32" s="2"/>
      <c r="AF32" s="3"/>
      <c r="AG32" s="2"/>
      <c r="AH32" s="2"/>
      <c r="AI32" s="2"/>
      <c r="AJ32" s="2"/>
      <c r="AK32" s="1"/>
      <c r="AL32" s="2"/>
      <c r="AM32" s="1"/>
      <c r="AN32" s="2"/>
      <c r="AO32" s="1"/>
      <c r="AP32" s="3"/>
      <c r="AQ32" s="2"/>
      <c r="AR32" s="2"/>
      <c r="AS32" s="2"/>
      <c r="AT32" s="2"/>
      <c r="AU32" s="2"/>
      <c r="AV32" s="2"/>
      <c r="AW32" s="2"/>
      <c r="AX32" s="3"/>
      <c r="AY32" s="2"/>
      <c r="AZ32" s="3"/>
      <c r="BA32" s="2"/>
      <c r="BB32" s="2"/>
      <c r="BC32" s="2"/>
      <c r="BD32" s="2"/>
      <c r="BE32" s="2"/>
      <c r="BF32" s="2"/>
      <c r="BG32" s="2"/>
      <c r="BH32" s="3"/>
      <c r="BI32" s="2"/>
      <c r="BJ32" s="3"/>
      <c r="BK32" s="2"/>
      <c r="BL32" s="2"/>
      <c r="BM32" s="2"/>
      <c r="BN32" s="2"/>
      <c r="BO32" s="2"/>
      <c r="BP32" s="2"/>
      <c r="BQ32" s="2"/>
      <c r="BR32" s="3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</row>
    <row r="33" spans="1:81" ht="16" x14ac:dyDescent="0.2">
      <c r="A33" s="1" t="s">
        <v>179</v>
      </c>
      <c r="B33" s="2">
        <v>434.76279899999997</v>
      </c>
      <c r="C33" s="2">
        <v>51.16</v>
      </c>
      <c r="D33" s="2">
        <v>1.38</v>
      </c>
      <c r="E33" s="2">
        <v>15.36</v>
      </c>
      <c r="F33" s="2">
        <v>9.35</v>
      </c>
      <c r="G33" s="2">
        <v>0</v>
      </c>
      <c r="H33" s="2">
        <v>8.16</v>
      </c>
      <c r="I33" s="2">
        <v>11.54</v>
      </c>
      <c r="J33" s="2">
        <v>2.81</v>
      </c>
      <c r="K33" s="2">
        <v>0.16</v>
      </c>
      <c r="L33" s="2">
        <v>0.109</v>
      </c>
      <c r="M33" s="2">
        <v>0.33700000000000002</v>
      </c>
      <c r="N33" s="2">
        <v>192</v>
      </c>
      <c r="O33" s="2">
        <v>1006.4</v>
      </c>
      <c r="P33" s="2">
        <v>0.14199999999999999</v>
      </c>
      <c r="Q33" s="2"/>
      <c r="R33" s="3"/>
      <c r="S33" s="2"/>
      <c r="T33" s="2"/>
      <c r="U33" s="2"/>
      <c r="V33" s="2"/>
      <c r="W33" s="2"/>
      <c r="X33" s="2"/>
      <c r="Y33" s="2"/>
      <c r="Z33" s="2"/>
      <c r="AA33" s="2"/>
      <c r="AB33" s="3"/>
      <c r="AC33" s="2"/>
      <c r="AD33" s="2"/>
      <c r="AE33" s="2"/>
      <c r="AF33" s="3"/>
      <c r="AG33" s="2"/>
      <c r="AH33" s="2"/>
      <c r="AI33" s="2"/>
      <c r="AJ33" s="2"/>
      <c r="AK33" s="1"/>
      <c r="AL33" s="2"/>
      <c r="AM33" s="1"/>
      <c r="AN33" s="2"/>
      <c r="AO33" s="1"/>
      <c r="AP33" s="3"/>
      <c r="AQ33" s="2"/>
      <c r="AR33" s="2"/>
      <c r="AS33" s="2"/>
      <c r="AT33" s="2"/>
      <c r="AU33" s="2"/>
      <c r="AV33" s="2"/>
      <c r="AW33" s="2"/>
      <c r="AX33" s="3"/>
      <c r="AY33" s="2"/>
      <c r="AZ33" s="3"/>
      <c r="BA33" s="2"/>
      <c r="BB33" s="2"/>
      <c r="BC33" s="2"/>
      <c r="BD33" s="2"/>
      <c r="BE33" s="2"/>
      <c r="BF33" s="2"/>
      <c r="BG33" s="2"/>
      <c r="BH33" s="3"/>
      <c r="BI33" s="2"/>
      <c r="BJ33" s="3"/>
      <c r="BK33" s="2"/>
      <c r="BL33" s="2"/>
      <c r="BM33" s="2"/>
      <c r="BN33" s="2"/>
      <c r="BO33" s="2"/>
      <c r="BP33" s="2"/>
      <c r="BQ33" s="2"/>
      <c r="BR33" s="3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</row>
    <row r="34" spans="1:81" ht="16" x14ac:dyDescent="0.2">
      <c r="A34" s="1" t="s">
        <v>180</v>
      </c>
      <c r="B34" s="2">
        <v>529.83970299999999</v>
      </c>
      <c r="C34" s="2">
        <v>51.33</v>
      </c>
      <c r="D34" s="2">
        <v>1.33</v>
      </c>
      <c r="E34" s="2">
        <v>15.15</v>
      </c>
      <c r="F34" s="2">
        <v>9.4499999999999993</v>
      </c>
      <c r="G34" s="2">
        <v>0</v>
      </c>
      <c r="H34" s="2">
        <v>8.6300000000000008</v>
      </c>
      <c r="I34" s="2">
        <v>11.59</v>
      </c>
      <c r="J34" s="2">
        <v>2.59</v>
      </c>
      <c r="K34" s="2">
        <v>0.16</v>
      </c>
      <c r="L34" s="2">
        <v>0.105</v>
      </c>
      <c r="M34" s="2">
        <v>0.28299999999999997</v>
      </c>
      <c r="N34" s="2">
        <v>238</v>
      </c>
      <c r="O34" s="2">
        <v>1029.01</v>
      </c>
      <c r="P34" s="2">
        <v>0.14199999999999999</v>
      </c>
      <c r="Q34" s="2"/>
      <c r="R34" s="3"/>
      <c r="S34" s="2"/>
      <c r="T34" s="2"/>
      <c r="U34" s="2"/>
      <c r="V34" s="2"/>
      <c r="W34" s="2"/>
      <c r="X34" s="2"/>
      <c r="Y34" s="2"/>
      <c r="Z34" s="2"/>
      <c r="AA34" s="2"/>
      <c r="AB34" s="3"/>
      <c r="AC34" s="2"/>
      <c r="AD34" s="2"/>
      <c r="AE34" s="2"/>
      <c r="AF34" s="3"/>
      <c r="AG34" s="2"/>
      <c r="AH34" s="2"/>
      <c r="AI34" s="2"/>
      <c r="AJ34" s="2"/>
      <c r="AK34" s="1"/>
      <c r="AL34" s="2"/>
      <c r="AM34" s="1"/>
      <c r="AN34" s="2"/>
      <c r="AO34" s="1"/>
      <c r="AP34" s="3"/>
      <c r="AQ34" s="2"/>
      <c r="AR34" s="2"/>
      <c r="AS34" s="2"/>
      <c r="AT34" s="2"/>
      <c r="AU34" s="2"/>
      <c r="AV34" s="2"/>
      <c r="AW34" s="2"/>
      <c r="AX34" s="3"/>
      <c r="AY34" s="2"/>
      <c r="AZ34" s="3"/>
      <c r="BA34" s="2"/>
      <c r="BB34" s="2"/>
      <c r="BC34" s="2"/>
      <c r="BD34" s="2"/>
      <c r="BE34" s="2"/>
      <c r="BF34" s="2"/>
      <c r="BG34" s="2"/>
      <c r="BH34" s="3"/>
      <c r="BI34" s="2"/>
      <c r="BJ34" s="3"/>
      <c r="BK34" s="2"/>
      <c r="BL34" s="2"/>
      <c r="BM34" s="2"/>
      <c r="BN34" s="2"/>
      <c r="BO34" s="2"/>
      <c r="BP34" s="2"/>
      <c r="BQ34" s="2"/>
      <c r="BR34" s="3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</row>
    <row r="35" spans="1:81" ht="16" x14ac:dyDescent="0.2">
      <c r="A35" s="1" t="s">
        <v>181</v>
      </c>
      <c r="B35" s="2">
        <v>479.58387699999997</v>
      </c>
      <c r="C35" s="2">
        <v>51.41</v>
      </c>
      <c r="D35" s="2">
        <v>1.51</v>
      </c>
      <c r="E35" s="2">
        <v>14.9</v>
      </c>
      <c r="F35" s="2">
        <v>9.69</v>
      </c>
      <c r="G35" s="2">
        <v>0</v>
      </c>
      <c r="H35" s="2">
        <v>7.95</v>
      </c>
      <c r="I35" s="2">
        <v>11.45</v>
      </c>
      <c r="J35" s="2">
        <v>2.33</v>
      </c>
      <c r="K35" s="2">
        <v>0.3</v>
      </c>
      <c r="L35" s="2">
        <v>0.14299999999999999</v>
      </c>
      <c r="M35" s="2">
        <v>0.45600000000000002</v>
      </c>
      <c r="N35" s="2">
        <v>209</v>
      </c>
      <c r="O35" s="2">
        <v>1063.26</v>
      </c>
      <c r="P35" s="2">
        <v>0.14299999999999999</v>
      </c>
      <c r="Q35" s="2"/>
      <c r="R35" s="3"/>
      <c r="S35" s="2"/>
      <c r="T35" s="2"/>
      <c r="U35" s="2"/>
      <c r="V35" s="2"/>
      <c r="W35" s="2"/>
      <c r="X35" s="2"/>
      <c r="Y35" s="2"/>
      <c r="Z35" s="2"/>
      <c r="AA35" s="2"/>
      <c r="AB35" s="3"/>
      <c r="AC35" s="2"/>
      <c r="AD35" s="2"/>
      <c r="AE35" s="2"/>
      <c r="AF35" s="3"/>
      <c r="AG35" s="2"/>
      <c r="AH35" s="2"/>
      <c r="AI35" s="2"/>
      <c r="AJ35" s="2"/>
      <c r="AK35" s="1"/>
      <c r="AL35" s="2"/>
      <c r="AM35" s="1"/>
      <c r="AN35" s="2"/>
      <c r="AO35" s="1"/>
      <c r="AP35" s="3"/>
      <c r="AQ35" s="2"/>
      <c r="AR35" s="2"/>
      <c r="AS35" s="2"/>
      <c r="AT35" s="2"/>
      <c r="AU35" s="2"/>
      <c r="AV35" s="2"/>
      <c r="AW35" s="2"/>
      <c r="AX35" s="3"/>
      <c r="AY35" s="2"/>
      <c r="AZ35" s="3"/>
      <c r="BA35" s="2"/>
      <c r="BB35" s="2"/>
      <c r="BC35" s="2"/>
      <c r="BD35" s="2"/>
      <c r="BE35" s="2"/>
      <c r="BF35" s="2"/>
      <c r="BG35" s="2"/>
      <c r="BH35" s="3"/>
      <c r="BI35" s="2"/>
      <c r="BJ35" s="3"/>
      <c r="BK35" s="2"/>
      <c r="BL35" s="2"/>
      <c r="BM35" s="2"/>
      <c r="BN35" s="2"/>
      <c r="BO35" s="2"/>
      <c r="BP35" s="2"/>
      <c r="BQ35" s="2"/>
      <c r="BR35" s="3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</row>
    <row r="36" spans="1:81" ht="16" x14ac:dyDescent="0.2">
      <c r="A36" s="1" t="s">
        <v>182</v>
      </c>
      <c r="B36" s="2">
        <v>322.62765300000001</v>
      </c>
      <c r="C36" s="2">
        <v>51.38</v>
      </c>
      <c r="D36" s="2">
        <v>1.25</v>
      </c>
      <c r="E36" s="2">
        <v>14.54</v>
      </c>
      <c r="F36" s="2">
        <v>10.48</v>
      </c>
      <c r="G36" s="2">
        <v>0</v>
      </c>
      <c r="H36" s="2">
        <v>7.05</v>
      </c>
      <c r="I36" s="2">
        <v>11.84</v>
      </c>
      <c r="J36" s="2">
        <v>2.2400000000000002</v>
      </c>
      <c r="K36" s="2">
        <v>0.14000000000000001</v>
      </c>
      <c r="L36" s="2">
        <v>0.15</v>
      </c>
      <c r="M36" s="2">
        <v>0.35</v>
      </c>
      <c r="N36" s="2">
        <v>139</v>
      </c>
      <c r="O36" s="2">
        <v>1179.94</v>
      </c>
      <c r="P36" s="2">
        <v>0.14299999999999999</v>
      </c>
      <c r="Q36" s="2"/>
      <c r="R36" s="3"/>
      <c r="S36" s="2"/>
      <c r="T36" s="2"/>
      <c r="U36" s="2"/>
      <c r="V36" s="2"/>
      <c r="W36" s="2"/>
      <c r="X36" s="2"/>
      <c r="Y36" s="2"/>
      <c r="Z36" s="2"/>
      <c r="AA36" s="2"/>
      <c r="AB36" s="3"/>
      <c r="AC36" s="2"/>
      <c r="AD36" s="2"/>
      <c r="AE36" s="2"/>
      <c r="AF36" s="3"/>
      <c r="AG36" s="2"/>
      <c r="AH36" s="2"/>
      <c r="AI36" s="2"/>
      <c r="AJ36" s="2"/>
      <c r="AK36" s="1"/>
      <c r="AL36" s="2"/>
      <c r="AM36" s="1"/>
      <c r="AN36" s="2"/>
      <c r="AO36" s="1"/>
      <c r="AP36" s="3"/>
      <c r="AQ36" s="2"/>
      <c r="AR36" s="2"/>
      <c r="AS36" s="2"/>
      <c r="AT36" s="2"/>
      <c r="AU36" s="2"/>
      <c r="AV36" s="2"/>
      <c r="AW36" s="2"/>
      <c r="AX36" s="3"/>
      <c r="AY36" s="2"/>
      <c r="AZ36" s="3"/>
      <c r="BA36" s="2"/>
      <c r="BB36" s="2"/>
      <c r="BC36" s="2"/>
      <c r="BD36" s="2"/>
      <c r="BE36" s="2"/>
      <c r="BF36" s="2"/>
      <c r="BG36" s="2"/>
      <c r="BH36" s="3"/>
      <c r="BI36" s="2"/>
      <c r="BJ36" s="3"/>
      <c r="BK36" s="2"/>
      <c r="BL36" s="2"/>
      <c r="BM36" s="2"/>
      <c r="BN36" s="2"/>
      <c r="BO36" s="2"/>
      <c r="BP36" s="2"/>
      <c r="BQ36" s="2"/>
      <c r="BR36" s="3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</row>
    <row r="37" spans="1:81" ht="16" x14ac:dyDescent="0.2">
      <c r="A37" s="1" t="s">
        <v>183</v>
      </c>
      <c r="B37" s="2">
        <v>580.29548199999999</v>
      </c>
      <c r="C37" s="2">
        <v>51.52</v>
      </c>
      <c r="D37" s="2">
        <v>1.43</v>
      </c>
      <c r="E37" s="2">
        <v>15.18</v>
      </c>
      <c r="F37" s="2">
        <v>9.4</v>
      </c>
      <c r="G37" s="2">
        <v>0</v>
      </c>
      <c r="H37" s="2">
        <v>8.3800000000000008</v>
      </c>
      <c r="I37" s="2">
        <v>11.22</v>
      </c>
      <c r="J37" s="2">
        <v>2.84</v>
      </c>
      <c r="K37" s="2">
        <v>0.15</v>
      </c>
      <c r="L37" s="2">
        <v>0.127</v>
      </c>
      <c r="M37" s="2">
        <v>0.28499999999999998</v>
      </c>
      <c r="N37" s="2">
        <v>262</v>
      </c>
      <c r="O37" s="2">
        <v>1027.45</v>
      </c>
      <c r="P37" s="2">
        <v>0.14399999999999999</v>
      </c>
      <c r="Q37" s="2"/>
      <c r="R37" s="3"/>
      <c r="S37" s="2"/>
      <c r="T37" s="2"/>
      <c r="U37" s="2"/>
      <c r="V37" s="2"/>
      <c r="W37" s="2"/>
      <c r="X37" s="2"/>
      <c r="Y37" s="2"/>
      <c r="Z37" s="2"/>
      <c r="AA37" s="2"/>
      <c r="AB37" s="3"/>
      <c r="AC37" s="2"/>
      <c r="AD37" s="2"/>
      <c r="AE37" s="2"/>
      <c r="AF37" s="3"/>
      <c r="AG37" s="2"/>
      <c r="AH37" s="2"/>
      <c r="AI37" s="2"/>
      <c r="AJ37" s="2"/>
      <c r="AK37" s="1"/>
      <c r="AL37" s="2"/>
      <c r="AM37" s="1"/>
      <c r="AN37" s="2"/>
      <c r="AO37" s="1"/>
      <c r="AP37" s="3"/>
      <c r="AQ37" s="2"/>
      <c r="AR37" s="2"/>
      <c r="AS37" s="2"/>
      <c r="AT37" s="2"/>
      <c r="AU37" s="2"/>
      <c r="AV37" s="2"/>
      <c r="AW37" s="2"/>
      <c r="AX37" s="3"/>
      <c r="AY37" s="2"/>
      <c r="AZ37" s="3"/>
      <c r="BA37" s="2"/>
      <c r="BB37" s="2"/>
      <c r="BC37" s="2"/>
      <c r="BD37" s="2"/>
      <c r="BE37" s="2"/>
      <c r="BF37" s="2"/>
      <c r="BG37" s="2"/>
      <c r="BH37" s="3"/>
      <c r="BI37" s="2"/>
      <c r="BJ37" s="3"/>
      <c r="BK37" s="2"/>
      <c r="BL37" s="2"/>
      <c r="BM37" s="2"/>
      <c r="BN37" s="2"/>
      <c r="BO37" s="2"/>
      <c r="BP37" s="2"/>
      <c r="BQ37" s="2"/>
      <c r="BR37" s="3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</row>
    <row r="38" spans="1:81" ht="16" x14ac:dyDescent="0.2">
      <c r="A38" s="1" t="s">
        <v>184</v>
      </c>
      <c r="B38" s="2">
        <v>495.80096400000002</v>
      </c>
      <c r="C38" s="2">
        <v>52.08</v>
      </c>
      <c r="D38" s="2">
        <v>1.89</v>
      </c>
      <c r="E38" s="2">
        <v>14.86</v>
      </c>
      <c r="F38" s="2">
        <v>10.23</v>
      </c>
      <c r="G38" s="2">
        <v>0</v>
      </c>
      <c r="H38" s="2">
        <v>6.97</v>
      </c>
      <c r="I38" s="2">
        <v>10.52</v>
      </c>
      <c r="J38" s="2">
        <v>3.28</v>
      </c>
      <c r="K38" s="2">
        <v>0.2</v>
      </c>
      <c r="L38" s="2">
        <v>0.184</v>
      </c>
      <c r="M38" s="2">
        <v>0.47399999999999998</v>
      </c>
      <c r="N38" s="2">
        <v>215</v>
      </c>
      <c r="O38" s="2">
        <v>1272.1300000000001</v>
      </c>
      <c r="P38" s="2">
        <v>0.14399999999999999</v>
      </c>
      <c r="Q38" s="2"/>
      <c r="R38" s="3"/>
      <c r="S38" s="2"/>
      <c r="T38" s="2"/>
      <c r="U38" s="2"/>
      <c r="V38" s="2"/>
      <c r="W38" s="2"/>
      <c r="X38" s="2"/>
      <c r="Y38" s="2"/>
      <c r="Z38" s="2"/>
      <c r="AA38" s="2"/>
      <c r="AB38" s="3"/>
      <c r="AC38" s="2"/>
      <c r="AD38" s="2"/>
      <c r="AE38" s="2"/>
      <c r="AF38" s="3"/>
      <c r="AG38" s="2"/>
      <c r="AH38" s="2"/>
      <c r="AI38" s="2"/>
      <c r="AJ38" s="2"/>
      <c r="AK38" s="1"/>
      <c r="AL38" s="2"/>
      <c r="AM38" s="1"/>
      <c r="AN38" s="2"/>
      <c r="AO38" s="1"/>
      <c r="AP38" s="3"/>
      <c r="AQ38" s="2"/>
      <c r="AR38" s="2"/>
      <c r="AS38" s="2"/>
      <c r="AT38" s="2"/>
      <c r="AU38" s="2"/>
      <c r="AV38" s="2"/>
      <c r="AW38" s="2"/>
      <c r="AX38" s="3"/>
      <c r="AY38" s="2"/>
      <c r="AZ38" s="3"/>
      <c r="BA38" s="2"/>
      <c r="BB38" s="2"/>
      <c r="BC38" s="2"/>
      <c r="BD38" s="2"/>
      <c r="BE38" s="2"/>
      <c r="BF38" s="2"/>
      <c r="BG38" s="2"/>
      <c r="BH38" s="3"/>
      <c r="BI38" s="2"/>
      <c r="BJ38" s="3"/>
      <c r="BK38" s="2"/>
      <c r="BL38" s="2"/>
      <c r="BM38" s="2"/>
      <c r="BN38" s="2"/>
      <c r="BO38" s="2"/>
      <c r="BP38" s="2"/>
      <c r="BQ38" s="2"/>
      <c r="BR38" s="3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</row>
    <row r="39" spans="1:81" ht="16" x14ac:dyDescent="0.2">
      <c r="A39" s="1" t="s">
        <v>185</v>
      </c>
      <c r="B39" s="2">
        <v>371.831458</v>
      </c>
      <c r="C39" s="2">
        <v>51.68</v>
      </c>
      <c r="D39" s="2">
        <v>1.76</v>
      </c>
      <c r="E39" s="2">
        <v>14.22</v>
      </c>
      <c r="F39" s="2">
        <v>9.8000000000000007</v>
      </c>
      <c r="G39" s="2">
        <v>0</v>
      </c>
      <c r="H39" s="2">
        <v>6.49</v>
      </c>
      <c r="I39" s="2">
        <v>10.79</v>
      </c>
      <c r="J39" s="2">
        <v>2.71</v>
      </c>
      <c r="K39" s="2">
        <v>0.55000000000000004</v>
      </c>
      <c r="L39" s="2">
        <v>0.22500000000000001</v>
      </c>
      <c r="M39" s="2">
        <v>0.71899999999999997</v>
      </c>
      <c r="N39" s="2">
        <v>145</v>
      </c>
      <c r="O39" s="2">
        <v>1217.58</v>
      </c>
      <c r="P39" s="2">
        <v>0.14499999999999999</v>
      </c>
      <c r="Q39" s="2"/>
      <c r="R39" s="3"/>
      <c r="S39" s="2"/>
      <c r="T39" s="2"/>
      <c r="U39" s="2"/>
      <c r="V39" s="2"/>
      <c r="W39" s="2"/>
      <c r="X39" s="2"/>
      <c r="Y39" s="2"/>
      <c r="Z39" s="2"/>
      <c r="AA39" s="2"/>
      <c r="AB39" s="3"/>
      <c r="AC39" s="2"/>
      <c r="AD39" s="2"/>
      <c r="AE39" s="2"/>
      <c r="AF39" s="3"/>
      <c r="AG39" s="2"/>
      <c r="AH39" s="2"/>
      <c r="AI39" s="2"/>
      <c r="AJ39" s="2"/>
      <c r="AK39" s="1"/>
      <c r="AL39" s="2"/>
      <c r="AM39" s="1"/>
      <c r="AN39" s="2"/>
      <c r="AO39" s="1"/>
      <c r="AP39" s="3"/>
      <c r="AQ39" s="2"/>
      <c r="AR39" s="2"/>
      <c r="AS39" s="2"/>
      <c r="AT39" s="2"/>
      <c r="AU39" s="2"/>
      <c r="AV39" s="2"/>
      <c r="AW39" s="2"/>
      <c r="AX39" s="3"/>
      <c r="AY39" s="2"/>
      <c r="AZ39" s="3"/>
      <c r="BA39" s="2"/>
      <c r="BB39" s="2"/>
      <c r="BC39" s="2"/>
      <c r="BD39" s="2"/>
      <c r="BE39" s="2"/>
      <c r="BF39" s="2"/>
      <c r="BG39" s="2"/>
      <c r="BH39" s="3"/>
      <c r="BI39" s="2"/>
      <c r="BJ39" s="3"/>
      <c r="BK39" s="2"/>
      <c r="BL39" s="2"/>
      <c r="BM39" s="2"/>
      <c r="BN39" s="2"/>
      <c r="BO39" s="2"/>
      <c r="BP39" s="2"/>
      <c r="BQ39" s="2"/>
      <c r="BR39" s="3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</row>
    <row r="40" spans="1:81" ht="16" x14ac:dyDescent="0.2">
      <c r="A40" s="1" t="s">
        <v>186</v>
      </c>
      <c r="B40" s="2">
        <v>483.59864399999998</v>
      </c>
      <c r="C40" s="2">
        <v>51.77</v>
      </c>
      <c r="D40" s="2">
        <v>1.45</v>
      </c>
      <c r="E40" s="2">
        <v>14.38</v>
      </c>
      <c r="F40" s="2">
        <v>10.31</v>
      </c>
      <c r="G40" s="2">
        <v>0</v>
      </c>
      <c r="H40" s="2">
        <v>7.58</v>
      </c>
      <c r="I40" s="2">
        <v>11.9</v>
      </c>
      <c r="J40" s="2">
        <v>2.6</v>
      </c>
      <c r="K40" s="2">
        <v>0.1</v>
      </c>
      <c r="L40" s="2">
        <v>9.7000000000000003E-2</v>
      </c>
      <c r="M40" s="2">
        <v>0.253</v>
      </c>
      <c r="N40" s="2">
        <v>216</v>
      </c>
      <c r="O40" s="2">
        <v>1206.79</v>
      </c>
      <c r="P40" s="2">
        <v>0.14599999999999999</v>
      </c>
      <c r="Q40" s="2"/>
      <c r="R40" s="3"/>
      <c r="S40" s="2"/>
      <c r="T40" s="2"/>
      <c r="U40" s="2"/>
      <c r="V40" s="2"/>
      <c r="W40" s="2"/>
      <c r="X40" s="2"/>
      <c r="Y40" s="2"/>
      <c r="Z40" s="2"/>
      <c r="AA40" s="2"/>
      <c r="AB40" s="3"/>
      <c r="AC40" s="2"/>
      <c r="AD40" s="2"/>
      <c r="AE40" s="2"/>
      <c r="AF40" s="3"/>
      <c r="AG40" s="2"/>
      <c r="AH40" s="2"/>
      <c r="AI40" s="2"/>
      <c r="AJ40" s="2"/>
      <c r="AK40" s="1"/>
      <c r="AL40" s="2"/>
      <c r="AM40" s="1"/>
      <c r="AN40" s="2"/>
      <c r="AO40" s="1"/>
      <c r="AP40" s="3"/>
      <c r="AQ40" s="2"/>
      <c r="AR40" s="2"/>
      <c r="AS40" s="2"/>
      <c r="AT40" s="2"/>
      <c r="AU40" s="2"/>
      <c r="AV40" s="2"/>
      <c r="AW40" s="2"/>
      <c r="AX40" s="3"/>
      <c r="AY40" s="2"/>
      <c r="AZ40" s="3"/>
      <c r="BA40" s="2"/>
      <c r="BB40" s="2"/>
      <c r="BC40" s="2"/>
      <c r="BD40" s="2"/>
      <c r="BE40" s="2"/>
      <c r="BF40" s="2"/>
      <c r="BG40" s="2"/>
      <c r="BH40" s="3"/>
      <c r="BI40" s="2"/>
      <c r="BJ40" s="3"/>
      <c r="BK40" s="2"/>
      <c r="BL40" s="2"/>
      <c r="BM40" s="2"/>
      <c r="BN40" s="2"/>
      <c r="BO40" s="2"/>
      <c r="BP40" s="2"/>
      <c r="BQ40" s="2"/>
      <c r="BR40" s="3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</row>
    <row r="41" spans="1:81" ht="16" x14ac:dyDescent="0.2">
      <c r="A41" s="1" t="s">
        <v>187</v>
      </c>
      <c r="B41" s="2">
        <v>432.47430000000003</v>
      </c>
      <c r="C41" s="2">
        <v>50.3</v>
      </c>
      <c r="D41" s="2">
        <v>1.78</v>
      </c>
      <c r="E41" s="2">
        <v>15.13</v>
      </c>
      <c r="F41" s="2">
        <v>10.06</v>
      </c>
      <c r="G41" s="2">
        <v>0</v>
      </c>
      <c r="H41" s="2">
        <v>7.26</v>
      </c>
      <c r="I41" s="2">
        <v>10.91</v>
      </c>
      <c r="J41" s="2">
        <v>3.14</v>
      </c>
      <c r="K41" s="2">
        <v>0.12</v>
      </c>
      <c r="L41" s="2">
        <v>0.15</v>
      </c>
      <c r="M41" s="2">
        <v>0.27900000000000003</v>
      </c>
      <c r="N41" s="2">
        <v>191</v>
      </c>
      <c r="O41" s="2">
        <v>1249.68</v>
      </c>
      <c r="P41" s="2">
        <v>0.14799999999999999</v>
      </c>
      <c r="Q41" s="2"/>
      <c r="R41" s="3"/>
      <c r="S41" s="2"/>
      <c r="T41" s="2"/>
      <c r="U41" s="2"/>
      <c r="V41" s="2"/>
      <c r="W41" s="2"/>
      <c r="X41" s="2"/>
      <c r="Y41" s="2"/>
      <c r="Z41" s="2"/>
      <c r="AA41" s="2"/>
      <c r="AB41" s="3"/>
      <c r="AC41" s="2"/>
      <c r="AD41" s="2"/>
      <c r="AE41" s="2"/>
      <c r="AF41" s="3"/>
      <c r="AG41" s="2"/>
      <c r="AH41" s="2"/>
      <c r="AI41" s="2"/>
      <c r="AJ41" s="2"/>
      <c r="AK41" s="1"/>
      <c r="AL41" s="2"/>
      <c r="AM41" s="1"/>
      <c r="AN41" s="2"/>
      <c r="AO41" s="1"/>
      <c r="AP41" s="3"/>
      <c r="AQ41" s="2"/>
      <c r="AR41" s="2"/>
      <c r="AS41" s="2"/>
      <c r="AT41" s="2"/>
      <c r="AU41" s="2"/>
      <c r="AV41" s="2"/>
      <c r="AW41" s="2"/>
      <c r="AX41" s="3"/>
      <c r="AY41" s="2"/>
      <c r="AZ41" s="3"/>
      <c r="BA41" s="2"/>
      <c r="BB41" s="2"/>
      <c r="BC41" s="2"/>
      <c r="BD41" s="2"/>
      <c r="BE41" s="2"/>
      <c r="BF41" s="2"/>
      <c r="BG41" s="2"/>
      <c r="BH41" s="3"/>
      <c r="BI41" s="2"/>
      <c r="BJ41" s="3"/>
      <c r="BK41" s="2"/>
      <c r="BL41" s="2"/>
      <c r="BM41" s="2"/>
      <c r="BN41" s="2"/>
      <c r="BO41" s="2"/>
      <c r="BP41" s="2"/>
      <c r="BQ41" s="2"/>
      <c r="BR41" s="3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</row>
    <row r="42" spans="1:81" ht="16" x14ac:dyDescent="0.2">
      <c r="A42" s="1" t="s">
        <v>188</v>
      </c>
      <c r="B42" s="2">
        <v>443.56329799999997</v>
      </c>
      <c r="C42" s="2">
        <v>51.35</v>
      </c>
      <c r="D42" s="2">
        <v>1.43</v>
      </c>
      <c r="E42" s="2">
        <v>15.14</v>
      </c>
      <c r="F42" s="2">
        <v>8.92</v>
      </c>
      <c r="G42" s="2">
        <v>0</v>
      </c>
      <c r="H42" s="2">
        <v>8.81</v>
      </c>
      <c r="I42" s="2">
        <v>10.97</v>
      </c>
      <c r="J42" s="2">
        <v>3.06</v>
      </c>
      <c r="K42" s="2">
        <v>0.28000000000000003</v>
      </c>
      <c r="L42" s="2">
        <v>0.16200000000000001</v>
      </c>
      <c r="M42" s="2">
        <v>0.34</v>
      </c>
      <c r="N42" s="2">
        <v>196</v>
      </c>
      <c r="O42" s="2">
        <v>970.4</v>
      </c>
      <c r="P42" s="2">
        <v>0.14799999999999999</v>
      </c>
      <c r="Q42" s="2"/>
      <c r="R42" s="3"/>
      <c r="S42" s="2"/>
      <c r="T42" s="2"/>
      <c r="U42" s="2"/>
      <c r="V42" s="2"/>
      <c r="W42" s="2"/>
      <c r="X42" s="2"/>
      <c r="Y42" s="2"/>
      <c r="Z42" s="2"/>
      <c r="AA42" s="2"/>
      <c r="AB42" s="3"/>
      <c r="AC42" s="2"/>
      <c r="AD42" s="2"/>
      <c r="AE42" s="2"/>
      <c r="AF42" s="3"/>
      <c r="AG42" s="2"/>
      <c r="AH42" s="2"/>
      <c r="AI42" s="2"/>
      <c r="AJ42" s="2"/>
      <c r="AK42" s="1"/>
      <c r="AL42" s="2"/>
      <c r="AM42" s="1"/>
      <c r="AN42" s="2"/>
      <c r="AO42" s="1"/>
      <c r="AP42" s="3"/>
      <c r="AQ42" s="2"/>
      <c r="AR42" s="2"/>
      <c r="AS42" s="2"/>
      <c r="AT42" s="2"/>
      <c r="AU42" s="2"/>
      <c r="AV42" s="2"/>
      <c r="AW42" s="2"/>
      <c r="AX42" s="3"/>
      <c r="AY42" s="2"/>
      <c r="AZ42" s="3"/>
      <c r="BA42" s="2"/>
      <c r="BB42" s="2"/>
      <c r="BC42" s="2"/>
      <c r="BD42" s="2"/>
      <c r="BE42" s="2"/>
      <c r="BF42" s="2"/>
      <c r="BG42" s="2"/>
      <c r="BH42" s="3"/>
      <c r="BI42" s="2"/>
      <c r="BJ42" s="3"/>
      <c r="BK42" s="2"/>
      <c r="BL42" s="2"/>
      <c r="BM42" s="2"/>
      <c r="BN42" s="2"/>
      <c r="BO42" s="2"/>
      <c r="BP42" s="2"/>
      <c r="BQ42" s="2"/>
      <c r="BR42" s="3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</row>
    <row r="43" spans="1:81" ht="16" x14ac:dyDescent="0.2">
      <c r="A43" s="1" t="s">
        <v>189</v>
      </c>
      <c r="B43" s="2">
        <v>434.65993800000001</v>
      </c>
      <c r="C43" s="2">
        <v>52.3</v>
      </c>
      <c r="D43" s="2">
        <v>1.54</v>
      </c>
      <c r="E43" s="2">
        <v>15.9</v>
      </c>
      <c r="F43" s="2">
        <v>7.52</v>
      </c>
      <c r="G43" s="2">
        <v>0</v>
      </c>
      <c r="H43" s="2">
        <v>7.04</v>
      </c>
      <c r="I43" s="2">
        <v>9.76</v>
      </c>
      <c r="J43" s="2">
        <v>3.73</v>
      </c>
      <c r="K43" s="2">
        <v>0.52</v>
      </c>
      <c r="L43" s="2">
        <v>0.246</v>
      </c>
      <c r="M43" s="2">
        <v>0.63900000000000001</v>
      </c>
      <c r="N43" s="2">
        <v>181</v>
      </c>
      <c r="O43" s="2">
        <v>822.4</v>
      </c>
      <c r="P43" s="2">
        <v>0.14799999999999999</v>
      </c>
      <c r="Q43" s="2"/>
      <c r="R43" s="3"/>
      <c r="S43" s="2"/>
      <c r="T43" s="2"/>
      <c r="U43" s="2"/>
      <c r="V43" s="2"/>
      <c r="W43" s="2"/>
      <c r="X43" s="2"/>
      <c r="Y43" s="2"/>
      <c r="Z43" s="2"/>
      <c r="AA43" s="2"/>
      <c r="AB43" s="3"/>
      <c r="AC43" s="2"/>
      <c r="AD43" s="2"/>
      <c r="AE43" s="2"/>
      <c r="AF43" s="3"/>
      <c r="AG43" s="2"/>
      <c r="AH43" s="2"/>
      <c r="AI43" s="2"/>
      <c r="AJ43" s="2"/>
      <c r="AK43" s="1"/>
      <c r="AL43" s="2"/>
      <c r="AM43" s="1"/>
      <c r="AN43" s="2"/>
      <c r="AO43" s="1"/>
      <c r="AP43" s="3"/>
      <c r="AQ43" s="2"/>
      <c r="AR43" s="2"/>
      <c r="AS43" s="2"/>
      <c r="AT43" s="2"/>
      <c r="AU43" s="2"/>
      <c r="AV43" s="2"/>
      <c r="AW43" s="2"/>
      <c r="AX43" s="3"/>
      <c r="AY43" s="2"/>
      <c r="AZ43" s="3"/>
      <c r="BA43" s="2"/>
      <c r="BB43" s="2"/>
      <c r="BC43" s="2"/>
      <c r="BD43" s="2"/>
      <c r="BE43" s="2"/>
      <c r="BF43" s="2"/>
      <c r="BG43" s="2"/>
      <c r="BH43" s="3"/>
      <c r="BI43" s="2"/>
      <c r="BJ43" s="3"/>
      <c r="BK43" s="2"/>
      <c r="BL43" s="2"/>
      <c r="BM43" s="2"/>
      <c r="BN43" s="2"/>
      <c r="BO43" s="2"/>
      <c r="BP43" s="2"/>
      <c r="BQ43" s="2"/>
      <c r="BR43" s="3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</row>
    <row r="44" spans="1:81" ht="16" x14ac:dyDescent="0.2">
      <c r="A44" s="1" t="s">
        <v>190</v>
      </c>
      <c r="B44" s="2">
        <v>452.570944</v>
      </c>
      <c r="C44" s="2">
        <v>52.22</v>
      </c>
      <c r="D44" s="2">
        <v>1.58</v>
      </c>
      <c r="E44" s="2">
        <v>15.83</v>
      </c>
      <c r="F44" s="2">
        <v>7.54</v>
      </c>
      <c r="G44" s="2">
        <v>0</v>
      </c>
      <c r="H44" s="2">
        <v>6.99</v>
      </c>
      <c r="I44" s="2">
        <v>9.67</v>
      </c>
      <c r="J44" s="2">
        <v>3.75</v>
      </c>
      <c r="K44" s="2">
        <v>0.52</v>
      </c>
      <c r="L44" s="2">
        <v>0.25600000000000001</v>
      </c>
      <c r="M44" s="2">
        <v>0.66500000000000004</v>
      </c>
      <c r="N44" s="2">
        <v>188</v>
      </c>
      <c r="O44" s="2">
        <v>835.68</v>
      </c>
      <c r="P44" s="2">
        <v>0.14799999999999999</v>
      </c>
      <c r="Q44" s="2"/>
      <c r="R44" s="3"/>
      <c r="S44" s="2"/>
      <c r="T44" s="2"/>
      <c r="U44" s="2"/>
      <c r="V44" s="2"/>
      <c r="W44" s="2"/>
      <c r="X44" s="2"/>
      <c r="Y44" s="2"/>
      <c r="Z44" s="2"/>
      <c r="AA44" s="2"/>
      <c r="AB44" s="3"/>
      <c r="AC44" s="2"/>
      <c r="AD44" s="2"/>
      <c r="AE44" s="2"/>
      <c r="AF44" s="3"/>
      <c r="AG44" s="2"/>
      <c r="AH44" s="2"/>
      <c r="AI44" s="2"/>
      <c r="AJ44" s="2"/>
      <c r="AK44" s="1"/>
      <c r="AL44" s="2"/>
      <c r="AM44" s="1"/>
      <c r="AN44" s="2"/>
      <c r="AO44" s="1"/>
      <c r="AP44" s="3"/>
      <c r="AQ44" s="2"/>
      <c r="AR44" s="2"/>
      <c r="AS44" s="2"/>
      <c r="AT44" s="2"/>
      <c r="AU44" s="2"/>
      <c r="AV44" s="2"/>
      <c r="AW44" s="2"/>
      <c r="AX44" s="3"/>
      <c r="AY44" s="2"/>
      <c r="AZ44" s="3"/>
      <c r="BA44" s="2"/>
      <c r="BB44" s="2"/>
      <c r="BC44" s="2"/>
      <c r="BD44" s="2"/>
      <c r="BE44" s="2"/>
      <c r="BF44" s="2"/>
      <c r="BG44" s="2"/>
      <c r="BH44" s="3"/>
      <c r="BI44" s="2"/>
      <c r="BJ44" s="3"/>
      <c r="BK44" s="2"/>
      <c r="BL44" s="2"/>
      <c r="BM44" s="2"/>
      <c r="BN44" s="2"/>
      <c r="BO44" s="2"/>
      <c r="BP44" s="2"/>
      <c r="BQ44" s="2"/>
      <c r="BR44" s="3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</row>
    <row r="45" spans="1:81" ht="16" x14ac:dyDescent="0.2">
      <c r="A45" s="1" t="s">
        <v>191</v>
      </c>
      <c r="B45" s="2">
        <v>556.74588000000006</v>
      </c>
      <c r="C45" s="2">
        <v>51.43</v>
      </c>
      <c r="D45" s="2">
        <v>1.95</v>
      </c>
      <c r="E45" s="2">
        <v>14.56</v>
      </c>
      <c r="F45" s="2">
        <v>10.18</v>
      </c>
      <c r="G45" s="2">
        <v>0</v>
      </c>
      <c r="H45" s="2">
        <v>6.93</v>
      </c>
      <c r="I45" s="2">
        <v>10.51</v>
      </c>
      <c r="J45" s="2">
        <v>3.3</v>
      </c>
      <c r="K45" s="2">
        <v>0.21</v>
      </c>
      <c r="L45" s="2">
        <v>0.17100000000000001</v>
      </c>
      <c r="M45" s="2">
        <v>0.44500000000000001</v>
      </c>
      <c r="N45" s="2">
        <v>245</v>
      </c>
      <c r="O45" s="2">
        <v>1197.6400000000001</v>
      </c>
      <c r="P45" s="2">
        <v>0.14799999999999999</v>
      </c>
      <c r="Q45" s="2"/>
      <c r="R45" s="3"/>
      <c r="S45" s="2"/>
      <c r="T45" s="2"/>
      <c r="U45" s="2"/>
      <c r="V45" s="2"/>
      <c r="W45" s="2"/>
      <c r="X45" s="2"/>
      <c r="Y45" s="2"/>
      <c r="Z45" s="2"/>
      <c r="AA45" s="2"/>
      <c r="AB45" s="3"/>
      <c r="AC45" s="2"/>
      <c r="AD45" s="2"/>
      <c r="AE45" s="2"/>
      <c r="AF45" s="3"/>
      <c r="AG45" s="2"/>
      <c r="AH45" s="2"/>
      <c r="AI45" s="2"/>
      <c r="AJ45" s="2"/>
      <c r="AK45" s="1"/>
      <c r="AL45" s="2"/>
      <c r="AM45" s="1"/>
      <c r="AN45" s="2"/>
      <c r="AO45" s="1"/>
      <c r="AP45" s="3"/>
      <c r="AQ45" s="2"/>
      <c r="AR45" s="2"/>
      <c r="AS45" s="2"/>
      <c r="AT45" s="2"/>
      <c r="AU45" s="2"/>
      <c r="AV45" s="2"/>
      <c r="AW45" s="2"/>
      <c r="AX45" s="3"/>
      <c r="AY45" s="2"/>
      <c r="AZ45" s="3"/>
      <c r="BA45" s="2"/>
      <c r="BB45" s="2"/>
      <c r="BC45" s="2"/>
      <c r="BD45" s="2"/>
      <c r="BE45" s="2"/>
      <c r="BF45" s="2"/>
      <c r="BG45" s="2"/>
      <c r="BH45" s="3"/>
      <c r="BI45" s="2"/>
      <c r="BJ45" s="3"/>
      <c r="BK45" s="2"/>
      <c r="BL45" s="2"/>
      <c r="BM45" s="2"/>
      <c r="BN45" s="2"/>
      <c r="BO45" s="2"/>
      <c r="BP45" s="2"/>
      <c r="BQ45" s="2"/>
      <c r="BR45" s="3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</row>
    <row r="46" spans="1:81" ht="16" x14ac:dyDescent="0.2">
      <c r="A46" s="1" t="s">
        <v>192</v>
      </c>
      <c r="B46" s="2">
        <v>466.80217099999999</v>
      </c>
      <c r="C46" s="2">
        <v>52.45</v>
      </c>
      <c r="D46" s="2">
        <v>1.57</v>
      </c>
      <c r="E46" s="2">
        <v>15.98</v>
      </c>
      <c r="F46" s="2">
        <v>7.7</v>
      </c>
      <c r="G46" s="2">
        <v>0</v>
      </c>
      <c r="H46" s="2">
        <v>7.12</v>
      </c>
      <c r="I46" s="2">
        <v>9.68</v>
      </c>
      <c r="J46" s="2">
        <v>3.88</v>
      </c>
      <c r="K46" s="2">
        <v>0.53</v>
      </c>
      <c r="L46" s="2">
        <v>0.24299999999999999</v>
      </c>
      <c r="M46" s="2">
        <v>0.60499999999999998</v>
      </c>
      <c r="N46" s="2">
        <v>198</v>
      </c>
      <c r="O46" s="2">
        <v>814.75</v>
      </c>
      <c r="P46" s="2">
        <v>0.14899999999999999</v>
      </c>
      <c r="Q46" s="2"/>
      <c r="R46" s="3"/>
      <c r="S46" s="2"/>
      <c r="T46" s="2"/>
      <c r="U46" s="2"/>
      <c r="V46" s="2"/>
      <c r="W46" s="2"/>
      <c r="X46" s="2"/>
      <c r="Y46" s="2"/>
      <c r="Z46" s="2"/>
      <c r="AA46" s="2"/>
      <c r="AB46" s="3"/>
      <c r="AC46" s="2"/>
      <c r="AD46" s="2"/>
      <c r="AE46" s="2"/>
      <c r="AF46" s="3"/>
      <c r="AG46" s="2"/>
      <c r="AH46" s="2"/>
      <c r="AI46" s="2"/>
      <c r="AJ46" s="2"/>
      <c r="AK46" s="1"/>
      <c r="AL46" s="2"/>
      <c r="AM46" s="1"/>
      <c r="AN46" s="2"/>
      <c r="AO46" s="1"/>
      <c r="AP46" s="3"/>
      <c r="AQ46" s="2"/>
      <c r="AR46" s="2"/>
      <c r="AS46" s="2"/>
      <c r="AT46" s="2"/>
      <c r="AU46" s="2"/>
      <c r="AV46" s="2"/>
      <c r="AW46" s="2"/>
      <c r="AX46" s="3"/>
      <c r="AY46" s="2"/>
      <c r="AZ46" s="3"/>
      <c r="BA46" s="2"/>
      <c r="BB46" s="2"/>
      <c r="BC46" s="2"/>
      <c r="BD46" s="2"/>
      <c r="BE46" s="2"/>
      <c r="BF46" s="2"/>
      <c r="BG46" s="2"/>
      <c r="BH46" s="3"/>
      <c r="BI46" s="2"/>
      <c r="BJ46" s="3"/>
      <c r="BK46" s="2"/>
      <c r="BL46" s="2"/>
      <c r="BM46" s="2"/>
      <c r="BN46" s="2"/>
      <c r="BO46" s="2"/>
      <c r="BP46" s="2"/>
      <c r="BQ46" s="2"/>
      <c r="BR46" s="3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</row>
    <row r="47" spans="1:81" ht="16" x14ac:dyDescent="0.2">
      <c r="A47" s="1" t="s">
        <v>193</v>
      </c>
      <c r="B47" s="2">
        <v>493.63969200000003</v>
      </c>
      <c r="C47" s="2">
        <v>50.33</v>
      </c>
      <c r="D47" s="2">
        <v>1.41</v>
      </c>
      <c r="E47" s="2">
        <v>15.54</v>
      </c>
      <c r="F47" s="2">
        <v>9.49</v>
      </c>
      <c r="G47" s="2">
        <v>0</v>
      </c>
      <c r="H47" s="2">
        <v>8.2799999999999994</v>
      </c>
      <c r="I47" s="2">
        <v>11.77</v>
      </c>
      <c r="J47" s="2">
        <v>2.64</v>
      </c>
      <c r="K47" s="2">
        <v>0.36</v>
      </c>
      <c r="L47" s="2">
        <v>0.14499999999999999</v>
      </c>
      <c r="M47" s="2">
        <v>0.49199999999999999</v>
      </c>
      <c r="N47" s="2">
        <v>213</v>
      </c>
      <c r="O47" s="2">
        <v>1140.17</v>
      </c>
      <c r="P47" s="2">
        <v>0.14899999999999999</v>
      </c>
      <c r="Q47" s="2"/>
      <c r="R47" s="3"/>
      <c r="S47" s="2"/>
      <c r="T47" s="2"/>
      <c r="U47" s="2"/>
      <c r="V47" s="2"/>
      <c r="W47" s="2"/>
      <c r="X47" s="2"/>
      <c r="Y47" s="2"/>
      <c r="Z47" s="2"/>
      <c r="AA47" s="2"/>
      <c r="AB47" s="3"/>
      <c r="AC47" s="2"/>
      <c r="AD47" s="2"/>
      <c r="AE47" s="2"/>
      <c r="AF47" s="3"/>
      <c r="AG47" s="2"/>
      <c r="AH47" s="2"/>
      <c r="AI47" s="2"/>
      <c r="AJ47" s="2"/>
      <c r="AK47" s="1"/>
      <c r="AL47" s="2"/>
      <c r="AM47" s="1"/>
      <c r="AN47" s="2"/>
      <c r="AO47" s="1"/>
      <c r="AP47" s="3"/>
      <c r="AQ47" s="2"/>
      <c r="AR47" s="2"/>
      <c r="AS47" s="2"/>
      <c r="AT47" s="2"/>
      <c r="AU47" s="2"/>
      <c r="AV47" s="2"/>
      <c r="AW47" s="2"/>
      <c r="AX47" s="3"/>
      <c r="AY47" s="2"/>
      <c r="AZ47" s="3"/>
      <c r="BA47" s="2"/>
      <c r="BB47" s="2"/>
      <c r="BC47" s="2"/>
      <c r="BD47" s="2"/>
      <c r="BE47" s="2"/>
      <c r="BF47" s="2"/>
      <c r="BG47" s="2"/>
      <c r="BH47" s="3"/>
      <c r="BI47" s="2"/>
      <c r="BJ47" s="3"/>
      <c r="BK47" s="2"/>
      <c r="BL47" s="2"/>
      <c r="BM47" s="2"/>
      <c r="BN47" s="2"/>
      <c r="BO47" s="2"/>
      <c r="BP47" s="2"/>
      <c r="BQ47" s="2"/>
      <c r="BR47" s="3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</row>
    <row r="48" spans="1:81" ht="16" x14ac:dyDescent="0.2">
      <c r="A48" s="1" t="s">
        <v>194</v>
      </c>
      <c r="B48" s="2">
        <v>374.395848</v>
      </c>
      <c r="C48" s="2">
        <v>52.11</v>
      </c>
      <c r="D48" s="2">
        <v>1.6</v>
      </c>
      <c r="E48" s="2">
        <v>14.79</v>
      </c>
      <c r="F48" s="2">
        <v>9.0399999999999991</v>
      </c>
      <c r="G48" s="2">
        <v>0</v>
      </c>
      <c r="H48" s="2">
        <v>8.16</v>
      </c>
      <c r="I48" s="2">
        <v>10.87</v>
      </c>
      <c r="J48" s="2">
        <v>2.72</v>
      </c>
      <c r="K48" s="2">
        <v>0.48</v>
      </c>
      <c r="L48" s="2">
        <v>0.17599999999999999</v>
      </c>
      <c r="M48" s="2">
        <v>0.77600000000000002</v>
      </c>
      <c r="N48" s="2">
        <v>143</v>
      </c>
      <c r="O48" s="2">
        <v>1042.92</v>
      </c>
      <c r="P48" s="2">
        <v>0.14899999999999999</v>
      </c>
      <c r="Q48" s="2"/>
      <c r="R48" s="3"/>
      <c r="S48" s="2"/>
      <c r="T48" s="2"/>
      <c r="U48" s="2"/>
      <c r="V48" s="2"/>
      <c r="W48" s="2"/>
      <c r="X48" s="2"/>
      <c r="Y48" s="2"/>
      <c r="Z48" s="2"/>
      <c r="AA48" s="2"/>
      <c r="AB48" s="3"/>
      <c r="AC48" s="2"/>
      <c r="AD48" s="2"/>
      <c r="AE48" s="2"/>
      <c r="AF48" s="3"/>
      <c r="AG48" s="2"/>
      <c r="AH48" s="2"/>
      <c r="AI48" s="2"/>
      <c r="AJ48" s="2"/>
      <c r="AK48" s="1"/>
      <c r="AL48" s="2"/>
      <c r="AM48" s="1"/>
      <c r="AN48" s="2"/>
      <c r="AO48" s="1"/>
      <c r="AP48" s="3"/>
      <c r="AQ48" s="2"/>
      <c r="AR48" s="2"/>
      <c r="AS48" s="2"/>
      <c r="AT48" s="2"/>
      <c r="AU48" s="2"/>
      <c r="AV48" s="2"/>
      <c r="AW48" s="2"/>
      <c r="AX48" s="3"/>
      <c r="AY48" s="2"/>
      <c r="AZ48" s="3"/>
      <c r="BA48" s="2"/>
      <c r="BB48" s="2"/>
      <c r="BC48" s="2"/>
      <c r="BD48" s="2"/>
      <c r="BE48" s="2"/>
      <c r="BF48" s="2"/>
      <c r="BG48" s="2"/>
      <c r="BH48" s="3"/>
      <c r="BI48" s="2"/>
      <c r="BJ48" s="3"/>
      <c r="BK48" s="2"/>
      <c r="BL48" s="2"/>
      <c r="BM48" s="2"/>
      <c r="BN48" s="2"/>
      <c r="BO48" s="2"/>
      <c r="BP48" s="2"/>
      <c r="BQ48" s="2"/>
      <c r="BR48" s="3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</row>
    <row r="49" spans="1:81" ht="16" x14ac:dyDescent="0.2">
      <c r="A49" s="1" t="s">
        <v>195</v>
      </c>
      <c r="B49" s="2">
        <v>243.69735499999999</v>
      </c>
      <c r="C49" s="2">
        <v>50.84</v>
      </c>
      <c r="D49" s="2">
        <v>1.3</v>
      </c>
      <c r="E49" s="2">
        <v>14.71</v>
      </c>
      <c r="F49" s="2">
        <v>11.25</v>
      </c>
      <c r="G49" s="2">
        <v>0</v>
      </c>
      <c r="H49" s="2">
        <v>7.48</v>
      </c>
      <c r="I49" s="2">
        <v>12.05</v>
      </c>
      <c r="J49" s="2">
        <v>2.1</v>
      </c>
      <c r="K49" s="2">
        <v>0.04</v>
      </c>
      <c r="L49" s="2">
        <v>0.15</v>
      </c>
      <c r="M49" s="2">
        <v>0.154</v>
      </c>
      <c r="N49" s="2">
        <v>106</v>
      </c>
      <c r="O49" s="2">
        <v>1274.67</v>
      </c>
      <c r="P49" s="2">
        <v>0.14899999999999999</v>
      </c>
      <c r="Q49" s="2"/>
      <c r="R49" s="3"/>
      <c r="S49" s="2"/>
      <c r="T49" s="2"/>
      <c r="U49" s="2"/>
      <c r="V49" s="2"/>
      <c r="W49" s="2"/>
      <c r="X49" s="2"/>
      <c r="Y49" s="2"/>
      <c r="Z49" s="2"/>
      <c r="AA49" s="3"/>
      <c r="AB49" s="3"/>
      <c r="AC49" s="2"/>
      <c r="AD49" s="2"/>
      <c r="AE49" s="2"/>
      <c r="AF49" s="3"/>
      <c r="AG49" s="2"/>
      <c r="AH49" s="2"/>
      <c r="AI49" s="2"/>
      <c r="AJ49" s="2"/>
      <c r="AK49" s="1"/>
      <c r="AL49" s="2"/>
      <c r="AM49" s="1"/>
      <c r="AN49" s="2"/>
      <c r="AO49" s="1"/>
      <c r="AP49" s="3"/>
      <c r="AQ49" s="2"/>
      <c r="AR49" s="2"/>
      <c r="AS49" s="2"/>
      <c r="AT49" s="2"/>
      <c r="AU49" s="2"/>
      <c r="AV49" s="2"/>
      <c r="AW49" s="2"/>
      <c r="AX49" s="3"/>
      <c r="AY49" s="2"/>
      <c r="AZ49" s="3"/>
      <c r="BA49" s="2"/>
      <c r="BB49" s="2"/>
      <c r="BC49" s="2"/>
      <c r="BD49" s="2"/>
      <c r="BE49" s="2"/>
      <c r="BF49" s="2"/>
      <c r="BG49" s="2"/>
      <c r="BH49" s="3"/>
      <c r="BI49" s="2"/>
      <c r="BJ49" s="3"/>
      <c r="BK49" s="2"/>
      <c r="BL49" s="2"/>
      <c r="BM49" s="2"/>
      <c r="BN49" s="2"/>
      <c r="BO49" s="2"/>
      <c r="BP49" s="2"/>
      <c r="BQ49" s="2"/>
      <c r="BR49" s="3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</row>
    <row r="50" spans="1:81" ht="16" x14ac:dyDescent="0.2">
      <c r="A50" s="1" t="s">
        <v>196</v>
      </c>
      <c r="B50" s="2">
        <v>597.72241299999996</v>
      </c>
      <c r="C50" s="2">
        <v>49.87</v>
      </c>
      <c r="D50" s="2">
        <v>1.85</v>
      </c>
      <c r="E50" s="2">
        <v>15.7</v>
      </c>
      <c r="F50" s="2">
        <v>9.75</v>
      </c>
      <c r="G50" s="2">
        <v>0</v>
      </c>
      <c r="H50" s="2">
        <v>6.41</v>
      </c>
      <c r="I50" s="2">
        <v>10.58</v>
      </c>
      <c r="J50" s="2">
        <v>3.5</v>
      </c>
      <c r="K50" s="2">
        <v>0.64</v>
      </c>
      <c r="L50" s="2">
        <v>0.24199999999999999</v>
      </c>
      <c r="M50" s="2">
        <v>0.873</v>
      </c>
      <c r="N50" s="2">
        <v>240</v>
      </c>
      <c r="O50" s="2">
        <v>1200.1099999999999</v>
      </c>
      <c r="P50" s="2">
        <v>0.14899999999999999</v>
      </c>
      <c r="Q50" s="2"/>
      <c r="R50" s="3"/>
      <c r="S50" s="2"/>
      <c r="T50" s="2"/>
      <c r="U50" s="2"/>
      <c r="V50" s="2"/>
      <c r="W50" s="2"/>
      <c r="X50" s="2"/>
      <c r="Y50" s="2"/>
      <c r="Z50" s="2"/>
      <c r="AA50" s="2"/>
      <c r="AB50" s="3"/>
      <c r="AC50" s="2"/>
      <c r="AD50" s="2"/>
      <c r="AE50" s="2"/>
      <c r="AF50" s="3"/>
      <c r="AG50" s="2"/>
      <c r="AH50" s="2"/>
      <c r="AI50" s="2"/>
      <c r="AJ50" s="2"/>
      <c r="AK50" s="1"/>
      <c r="AL50" s="2"/>
      <c r="AM50" s="1"/>
      <c r="AN50" s="2"/>
      <c r="AO50" s="1"/>
      <c r="AP50" s="3"/>
      <c r="AQ50" s="2"/>
      <c r="AR50" s="2"/>
      <c r="AS50" s="2"/>
      <c r="AT50" s="2"/>
      <c r="AU50" s="2"/>
      <c r="AV50" s="2"/>
      <c r="AW50" s="2"/>
      <c r="AX50" s="3"/>
      <c r="AY50" s="2"/>
      <c r="AZ50" s="3"/>
      <c r="BA50" s="2"/>
      <c r="BB50" s="2"/>
      <c r="BC50" s="2"/>
      <c r="BD50" s="2"/>
      <c r="BE50" s="2"/>
      <c r="BF50" s="2"/>
      <c r="BG50" s="2"/>
      <c r="BH50" s="3"/>
      <c r="BI50" s="2"/>
      <c r="BJ50" s="3"/>
      <c r="BK50" s="2"/>
      <c r="BL50" s="2"/>
      <c r="BM50" s="2"/>
      <c r="BN50" s="2"/>
      <c r="BO50" s="2"/>
      <c r="BP50" s="2"/>
      <c r="BQ50" s="2"/>
      <c r="BR50" s="3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</row>
    <row r="51" spans="1:81" ht="16" x14ac:dyDescent="0.2">
      <c r="A51" s="1" t="s">
        <v>197</v>
      </c>
      <c r="B51" s="2">
        <v>587.61338699999999</v>
      </c>
      <c r="C51" s="2">
        <v>50.59</v>
      </c>
      <c r="D51" s="2">
        <v>1.81</v>
      </c>
      <c r="E51" s="2">
        <v>15.86</v>
      </c>
      <c r="F51" s="2">
        <v>9.99</v>
      </c>
      <c r="G51" s="2">
        <v>0</v>
      </c>
      <c r="H51" s="2">
        <v>6.54</v>
      </c>
      <c r="I51" s="2">
        <v>10.39</v>
      </c>
      <c r="J51" s="2">
        <v>3.58</v>
      </c>
      <c r="K51" s="2">
        <v>0.66</v>
      </c>
      <c r="L51" s="2">
        <v>0.23300000000000001</v>
      </c>
      <c r="M51" s="2">
        <v>0.89</v>
      </c>
      <c r="N51" s="2">
        <v>234</v>
      </c>
      <c r="O51" s="2">
        <v>1227.52</v>
      </c>
      <c r="P51" s="2">
        <v>0.14899999999999999</v>
      </c>
      <c r="Q51" s="2"/>
      <c r="R51" s="3"/>
      <c r="S51" s="2"/>
      <c r="T51" s="2"/>
      <c r="U51" s="2"/>
      <c r="V51" s="2"/>
      <c r="W51" s="2"/>
      <c r="X51" s="2"/>
      <c r="Y51" s="2"/>
      <c r="Z51" s="2"/>
      <c r="AA51" s="2"/>
      <c r="AB51" s="3"/>
      <c r="AC51" s="2"/>
      <c r="AD51" s="2"/>
      <c r="AE51" s="2"/>
      <c r="AF51" s="3"/>
      <c r="AG51" s="2"/>
      <c r="AH51" s="2"/>
      <c r="AI51" s="2"/>
      <c r="AJ51" s="2"/>
      <c r="AK51" s="1"/>
      <c r="AL51" s="2"/>
      <c r="AM51" s="1"/>
      <c r="AN51" s="2"/>
      <c r="AO51" s="1"/>
      <c r="AP51" s="3"/>
      <c r="AQ51" s="2"/>
      <c r="AR51" s="2"/>
      <c r="AS51" s="2"/>
      <c r="AT51" s="2"/>
      <c r="AU51" s="2"/>
      <c r="AV51" s="2"/>
      <c r="AW51" s="2"/>
      <c r="AX51" s="3"/>
      <c r="AY51" s="2"/>
      <c r="AZ51" s="3"/>
      <c r="BA51" s="2"/>
      <c r="BB51" s="2"/>
      <c r="BC51" s="2"/>
      <c r="BD51" s="2"/>
      <c r="BE51" s="2"/>
      <c r="BF51" s="2"/>
      <c r="BG51" s="2"/>
      <c r="BH51" s="3"/>
      <c r="BI51" s="2"/>
      <c r="BJ51" s="3"/>
      <c r="BK51" s="2"/>
      <c r="BL51" s="2"/>
      <c r="BM51" s="2"/>
      <c r="BN51" s="2"/>
      <c r="BO51" s="2"/>
      <c r="BP51" s="2"/>
      <c r="BQ51" s="2"/>
      <c r="BR51" s="3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</row>
    <row r="52" spans="1:81" ht="16" x14ac:dyDescent="0.2">
      <c r="A52" s="1" t="s">
        <v>198</v>
      </c>
      <c r="B52" s="2">
        <v>487.98490700000002</v>
      </c>
      <c r="C52" s="2">
        <v>51.12</v>
      </c>
      <c r="D52" s="2">
        <v>1.58</v>
      </c>
      <c r="E52" s="2">
        <v>15.26</v>
      </c>
      <c r="F52" s="2">
        <v>8.94</v>
      </c>
      <c r="G52" s="2">
        <v>0</v>
      </c>
      <c r="H52" s="2">
        <v>8.0399999999999991</v>
      </c>
      <c r="I52" s="2">
        <v>11</v>
      </c>
      <c r="J52" s="2">
        <v>3.22</v>
      </c>
      <c r="K52" s="2">
        <v>0.28000000000000003</v>
      </c>
      <c r="L52" s="2">
        <v>0.158</v>
      </c>
      <c r="M52" s="2">
        <v>0.39100000000000001</v>
      </c>
      <c r="N52" s="2">
        <v>215</v>
      </c>
      <c r="O52" s="2">
        <v>1024.7</v>
      </c>
      <c r="P52" s="2">
        <v>0.15</v>
      </c>
      <c r="Q52" s="2"/>
      <c r="R52" s="3"/>
      <c r="S52" s="2"/>
      <c r="T52" s="2"/>
      <c r="U52" s="2"/>
      <c r="V52" s="2"/>
      <c r="W52" s="2"/>
      <c r="X52" s="2"/>
      <c r="Y52" s="2"/>
      <c r="Z52" s="2"/>
      <c r="AA52" s="2"/>
      <c r="AB52" s="3"/>
      <c r="AC52" s="2"/>
      <c r="AD52" s="2"/>
      <c r="AE52" s="2"/>
      <c r="AF52" s="3"/>
      <c r="AG52" s="2"/>
      <c r="AH52" s="2"/>
      <c r="AI52" s="2"/>
      <c r="AJ52" s="2"/>
      <c r="AK52" s="1"/>
      <c r="AL52" s="2"/>
      <c r="AM52" s="1"/>
      <c r="AN52" s="2"/>
      <c r="AO52" s="1"/>
      <c r="AP52" s="3"/>
      <c r="AQ52" s="2"/>
      <c r="AR52" s="2"/>
      <c r="AS52" s="2"/>
      <c r="AT52" s="2"/>
      <c r="AU52" s="2"/>
      <c r="AV52" s="2"/>
      <c r="AW52" s="2"/>
      <c r="AX52" s="3"/>
      <c r="AY52" s="2"/>
      <c r="AZ52" s="3"/>
      <c r="BA52" s="2"/>
      <c r="BB52" s="2"/>
      <c r="BC52" s="2"/>
      <c r="BD52" s="2"/>
      <c r="BE52" s="2"/>
      <c r="BF52" s="2"/>
      <c r="BG52" s="2"/>
      <c r="BH52" s="3"/>
      <c r="BI52" s="2"/>
      <c r="BJ52" s="3"/>
      <c r="BK52" s="2"/>
      <c r="BL52" s="2"/>
      <c r="BM52" s="2"/>
      <c r="BN52" s="2"/>
      <c r="BO52" s="2"/>
      <c r="BP52" s="2"/>
      <c r="BQ52" s="2"/>
      <c r="BR52" s="3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</row>
    <row r="53" spans="1:81" ht="16" x14ac:dyDescent="0.2">
      <c r="A53" s="1" t="s">
        <v>199</v>
      </c>
      <c r="B53" s="2">
        <v>432.54405400000002</v>
      </c>
      <c r="C53" s="2">
        <v>51.72</v>
      </c>
      <c r="D53" s="2">
        <v>1.55</v>
      </c>
      <c r="E53" s="2">
        <v>15.14</v>
      </c>
      <c r="F53" s="2">
        <v>9.4600000000000009</v>
      </c>
      <c r="G53" s="2">
        <v>0</v>
      </c>
      <c r="H53" s="2">
        <v>7.58</v>
      </c>
      <c r="I53" s="2">
        <v>11.18</v>
      </c>
      <c r="J53" s="2">
        <v>3.12</v>
      </c>
      <c r="K53" s="2">
        <v>0.13</v>
      </c>
      <c r="L53" s="2">
        <v>0.111</v>
      </c>
      <c r="M53" s="2">
        <v>0.27700000000000002</v>
      </c>
      <c r="N53" s="2">
        <v>192</v>
      </c>
      <c r="O53" s="2">
        <v>1058.77</v>
      </c>
      <c r="P53" s="2">
        <v>0.152</v>
      </c>
      <c r="Q53" s="2"/>
      <c r="R53" s="3"/>
      <c r="S53" s="2"/>
      <c r="T53" s="2"/>
      <c r="U53" s="2"/>
      <c r="V53" s="2"/>
      <c r="W53" s="2"/>
      <c r="X53" s="2"/>
      <c r="Y53" s="2"/>
      <c r="Z53" s="2"/>
      <c r="AA53" s="2"/>
      <c r="AB53" s="3"/>
      <c r="AC53" s="2"/>
      <c r="AD53" s="2"/>
      <c r="AE53" s="2"/>
      <c r="AF53" s="3"/>
      <c r="AG53" s="2"/>
      <c r="AH53" s="2"/>
      <c r="AI53" s="2"/>
      <c r="AJ53" s="2"/>
      <c r="AK53" s="1"/>
      <c r="AL53" s="2"/>
      <c r="AM53" s="1"/>
      <c r="AN53" s="2"/>
      <c r="AO53" s="1"/>
      <c r="AP53" s="3"/>
      <c r="AQ53" s="2"/>
      <c r="AR53" s="2"/>
      <c r="AS53" s="2"/>
      <c r="AT53" s="2"/>
      <c r="AU53" s="2"/>
      <c r="AV53" s="2"/>
      <c r="AW53" s="2"/>
      <c r="AX53" s="3"/>
      <c r="AY53" s="2"/>
      <c r="AZ53" s="3"/>
      <c r="BA53" s="2"/>
      <c r="BB53" s="2"/>
      <c r="BC53" s="2"/>
      <c r="BD53" s="2"/>
      <c r="BE53" s="2"/>
      <c r="BF53" s="2"/>
      <c r="BG53" s="2"/>
      <c r="BH53" s="3"/>
      <c r="BI53" s="2"/>
      <c r="BJ53" s="3"/>
      <c r="BK53" s="2"/>
      <c r="BL53" s="2"/>
      <c r="BM53" s="2"/>
      <c r="BN53" s="2"/>
      <c r="BO53" s="2"/>
      <c r="BP53" s="2"/>
      <c r="BQ53" s="2"/>
      <c r="BR53" s="3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</row>
    <row r="54" spans="1:81" ht="16" x14ac:dyDescent="0.2">
      <c r="A54" s="1" t="s">
        <v>200</v>
      </c>
      <c r="B54" s="2">
        <v>434.06887599999999</v>
      </c>
      <c r="C54" s="2">
        <v>51.28</v>
      </c>
      <c r="D54" s="2">
        <v>1.53</v>
      </c>
      <c r="E54" s="2">
        <v>15.38</v>
      </c>
      <c r="F54" s="2">
        <v>9.34</v>
      </c>
      <c r="G54" s="2">
        <v>0</v>
      </c>
      <c r="H54" s="2">
        <v>7.86</v>
      </c>
      <c r="I54" s="2">
        <v>11.18</v>
      </c>
      <c r="J54" s="2">
        <v>2.92</v>
      </c>
      <c r="K54" s="2">
        <v>0.28999999999999998</v>
      </c>
      <c r="L54" s="2">
        <v>0.15</v>
      </c>
      <c r="M54" s="2">
        <v>0.34399999999999997</v>
      </c>
      <c r="N54" s="2">
        <v>190</v>
      </c>
      <c r="O54" s="2">
        <v>1143.92</v>
      </c>
      <c r="P54" s="2">
        <v>0.153</v>
      </c>
      <c r="Q54" s="2"/>
      <c r="R54" s="3"/>
      <c r="S54" s="2"/>
      <c r="T54" s="2"/>
      <c r="U54" s="2"/>
      <c r="V54" s="2"/>
      <c r="W54" s="2"/>
      <c r="X54" s="2"/>
      <c r="Y54" s="2"/>
      <c r="Z54" s="2"/>
      <c r="AA54" s="2"/>
      <c r="AB54" s="3"/>
      <c r="AC54" s="2"/>
      <c r="AD54" s="2"/>
      <c r="AE54" s="2"/>
      <c r="AF54" s="3"/>
      <c r="AG54" s="2"/>
      <c r="AH54" s="2"/>
      <c r="AI54" s="2"/>
      <c r="AJ54" s="2"/>
      <c r="AK54" s="1"/>
      <c r="AL54" s="2"/>
      <c r="AM54" s="1"/>
      <c r="AN54" s="2"/>
      <c r="AO54" s="1"/>
      <c r="AP54" s="3"/>
      <c r="AQ54" s="2"/>
      <c r="AR54" s="2"/>
      <c r="AS54" s="2"/>
      <c r="AT54" s="2"/>
      <c r="AU54" s="2"/>
      <c r="AV54" s="2"/>
      <c r="AW54" s="2"/>
      <c r="AX54" s="3"/>
      <c r="AY54" s="2"/>
      <c r="AZ54" s="3"/>
      <c r="BA54" s="2"/>
      <c r="BB54" s="2"/>
      <c r="BC54" s="2"/>
      <c r="BD54" s="2"/>
      <c r="BE54" s="2"/>
      <c r="BF54" s="2"/>
      <c r="BG54" s="2"/>
      <c r="BH54" s="3"/>
      <c r="BI54" s="2"/>
      <c r="BJ54" s="3"/>
      <c r="BK54" s="2"/>
      <c r="BL54" s="2"/>
      <c r="BM54" s="2"/>
      <c r="BN54" s="2"/>
      <c r="BO54" s="2"/>
      <c r="BP54" s="2"/>
      <c r="BQ54" s="2"/>
      <c r="BR54" s="3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</row>
    <row r="55" spans="1:81" ht="16" x14ac:dyDescent="0.2">
      <c r="A55" s="1" t="s">
        <v>201</v>
      </c>
      <c r="B55" s="2">
        <v>419.69846100000001</v>
      </c>
      <c r="C55" s="2">
        <v>51.47</v>
      </c>
      <c r="D55" s="2">
        <v>1.65</v>
      </c>
      <c r="E55" s="2">
        <v>15.14</v>
      </c>
      <c r="F55" s="2">
        <v>9.77</v>
      </c>
      <c r="G55" s="2">
        <v>0</v>
      </c>
      <c r="H55" s="2">
        <v>7.51</v>
      </c>
      <c r="I55" s="2">
        <v>11.28</v>
      </c>
      <c r="J55" s="2">
        <v>2.95</v>
      </c>
      <c r="K55" s="2">
        <v>0.2</v>
      </c>
      <c r="L55" s="2">
        <v>0.14899999999999999</v>
      </c>
      <c r="M55" s="2">
        <v>0.30399999999999999</v>
      </c>
      <c r="N55" s="2">
        <v>184</v>
      </c>
      <c r="O55" s="2">
        <v>1176.8399999999999</v>
      </c>
      <c r="P55" s="2">
        <v>0.156</v>
      </c>
      <c r="Q55" s="2"/>
      <c r="R55" s="3"/>
      <c r="S55" s="2"/>
      <c r="T55" s="2"/>
      <c r="U55" s="2"/>
      <c r="V55" s="2"/>
      <c r="W55" s="2"/>
      <c r="X55" s="2"/>
      <c r="Y55" s="2"/>
      <c r="Z55" s="2"/>
      <c r="AA55" s="2"/>
      <c r="AB55" s="3"/>
      <c r="AC55" s="2"/>
      <c r="AD55" s="2"/>
      <c r="AE55" s="2"/>
      <c r="AF55" s="3"/>
      <c r="AG55" s="2"/>
      <c r="AH55" s="2"/>
      <c r="AI55" s="2"/>
      <c r="AJ55" s="2"/>
      <c r="AK55" s="1"/>
      <c r="AL55" s="2"/>
      <c r="AM55" s="1"/>
      <c r="AN55" s="2"/>
      <c r="AO55" s="1"/>
      <c r="AP55" s="3"/>
      <c r="AQ55" s="2"/>
      <c r="AR55" s="2"/>
      <c r="AS55" s="2"/>
      <c r="AT55" s="2"/>
      <c r="AU55" s="2"/>
      <c r="AV55" s="2"/>
      <c r="AW55" s="2"/>
      <c r="AX55" s="3"/>
      <c r="AY55" s="2"/>
      <c r="AZ55" s="3"/>
      <c r="BA55" s="2"/>
      <c r="BB55" s="2"/>
      <c r="BC55" s="2"/>
      <c r="BD55" s="2"/>
      <c r="BE55" s="2"/>
      <c r="BF55" s="2"/>
      <c r="BG55" s="2"/>
      <c r="BH55" s="3"/>
      <c r="BI55" s="2"/>
      <c r="BJ55" s="3"/>
      <c r="BK55" s="2"/>
      <c r="BL55" s="2"/>
      <c r="BM55" s="2"/>
      <c r="BN55" s="2"/>
      <c r="BO55" s="2"/>
      <c r="BP55" s="2"/>
      <c r="BQ55" s="2"/>
      <c r="BR55" s="3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</row>
    <row r="56" spans="1:81" ht="16" x14ac:dyDescent="0.2">
      <c r="A56" s="1" t="s">
        <v>202</v>
      </c>
      <c r="B56" s="2">
        <v>463.46745700000002</v>
      </c>
      <c r="C56" s="2">
        <v>51.11</v>
      </c>
      <c r="D56" s="2">
        <v>1.98</v>
      </c>
      <c r="E56" s="2">
        <v>14.2</v>
      </c>
      <c r="F56" s="2">
        <v>10.06</v>
      </c>
      <c r="G56" s="2">
        <v>0</v>
      </c>
      <c r="H56" s="2">
        <v>6.79</v>
      </c>
      <c r="I56" s="2">
        <v>10.7</v>
      </c>
      <c r="J56" s="2">
        <v>3.21</v>
      </c>
      <c r="K56" s="2">
        <v>0.17</v>
      </c>
      <c r="L56" s="2">
        <v>0.185</v>
      </c>
      <c r="M56" s="2">
        <v>0.44400000000000001</v>
      </c>
      <c r="N56" s="2">
        <v>200</v>
      </c>
      <c r="O56" s="2">
        <v>1280.6600000000001</v>
      </c>
      <c r="P56" s="2">
        <v>0.156</v>
      </c>
      <c r="Q56" s="2"/>
      <c r="R56" s="3"/>
      <c r="S56" s="2"/>
      <c r="T56" s="2"/>
      <c r="U56" s="2"/>
      <c r="V56" s="2"/>
      <c r="W56" s="2"/>
      <c r="X56" s="2"/>
      <c r="Y56" s="2"/>
      <c r="Z56" s="2"/>
      <c r="AA56" s="2"/>
      <c r="AB56" s="3"/>
      <c r="AC56" s="2"/>
      <c r="AD56" s="2"/>
      <c r="AE56" s="2"/>
      <c r="AF56" s="3"/>
      <c r="AG56" s="2"/>
      <c r="AH56" s="2"/>
      <c r="AI56" s="2"/>
      <c r="AJ56" s="2"/>
      <c r="AK56" s="1"/>
      <c r="AL56" s="2"/>
      <c r="AM56" s="1"/>
      <c r="AN56" s="2"/>
      <c r="AO56" s="1"/>
      <c r="AP56" s="3"/>
      <c r="AQ56" s="2"/>
      <c r="AR56" s="2"/>
      <c r="AS56" s="2"/>
      <c r="AT56" s="2"/>
      <c r="AU56" s="2"/>
      <c r="AV56" s="2"/>
      <c r="AW56" s="2"/>
      <c r="AX56" s="3"/>
      <c r="AY56" s="2"/>
      <c r="AZ56" s="3"/>
      <c r="BA56" s="2"/>
      <c r="BB56" s="2"/>
      <c r="BC56" s="2"/>
      <c r="BD56" s="2"/>
      <c r="BE56" s="2"/>
      <c r="BF56" s="2"/>
      <c r="BG56" s="2"/>
      <c r="BH56" s="3"/>
      <c r="BI56" s="2"/>
      <c r="BJ56" s="3"/>
      <c r="BK56" s="2"/>
      <c r="BL56" s="2"/>
      <c r="BM56" s="2"/>
      <c r="BN56" s="2"/>
      <c r="BO56" s="2"/>
      <c r="BP56" s="2"/>
      <c r="BQ56" s="2"/>
      <c r="BR56" s="3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</row>
    <row r="57" spans="1:81" ht="16" x14ac:dyDescent="0.2">
      <c r="A57" s="1" t="s">
        <v>203</v>
      </c>
      <c r="B57" s="2">
        <v>402.35149799999999</v>
      </c>
      <c r="C57" s="2">
        <v>50.32</v>
      </c>
      <c r="D57" s="2">
        <v>1.86</v>
      </c>
      <c r="E57" s="2">
        <v>15.34</v>
      </c>
      <c r="F57" s="2">
        <v>8.74</v>
      </c>
      <c r="G57" s="2">
        <v>0</v>
      </c>
      <c r="H57" s="2">
        <v>7.58</v>
      </c>
      <c r="I57" s="2">
        <v>11.21</v>
      </c>
      <c r="J57" s="2">
        <v>2.99</v>
      </c>
      <c r="K57" s="2">
        <v>0.85</v>
      </c>
      <c r="L57" s="2">
        <v>0.26</v>
      </c>
      <c r="M57" s="2">
        <v>0.89500000000000002</v>
      </c>
      <c r="N57" s="2">
        <v>146</v>
      </c>
      <c r="O57" s="2">
        <v>1146.27</v>
      </c>
      <c r="P57" s="2">
        <v>0.156</v>
      </c>
      <c r="Q57" s="2"/>
      <c r="R57" s="3"/>
      <c r="S57" s="2"/>
      <c r="T57" s="2"/>
      <c r="U57" s="2"/>
      <c r="V57" s="2"/>
      <c r="W57" s="2"/>
      <c r="X57" s="2"/>
      <c r="Y57" s="2"/>
      <c r="Z57" s="2"/>
      <c r="AA57" s="2"/>
      <c r="AB57" s="3"/>
      <c r="AC57" s="2"/>
      <c r="AD57" s="2"/>
      <c r="AE57" s="2"/>
      <c r="AF57" s="3"/>
      <c r="AG57" s="2"/>
      <c r="AH57" s="2"/>
      <c r="AI57" s="2"/>
      <c r="AJ57" s="2"/>
      <c r="AK57" s="1"/>
      <c r="AL57" s="2"/>
      <c r="AM57" s="1"/>
      <c r="AN57" s="2"/>
      <c r="AO57" s="1"/>
      <c r="AP57" s="3"/>
      <c r="AQ57" s="2"/>
      <c r="AR57" s="2"/>
      <c r="AS57" s="2"/>
      <c r="AT57" s="2"/>
      <c r="AU57" s="2"/>
      <c r="AV57" s="2"/>
      <c r="AW57" s="2"/>
      <c r="AX57" s="3"/>
      <c r="AY57" s="2"/>
      <c r="AZ57" s="3"/>
      <c r="BA57" s="2"/>
      <c r="BB57" s="2"/>
      <c r="BC57" s="2"/>
      <c r="BD57" s="2"/>
      <c r="BE57" s="2"/>
      <c r="BF57" s="2"/>
      <c r="BG57" s="2"/>
      <c r="BH57" s="3"/>
      <c r="BI57" s="2"/>
      <c r="BJ57" s="3"/>
      <c r="BK57" s="2"/>
      <c r="BL57" s="2"/>
      <c r="BM57" s="2"/>
      <c r="BN57" s="2"/>
      <c r="BO57" s="2"/>
      <c r="BP57" s="2"/>
      <c r="BQ57" s="2"/>
      <c r="BR57" s="3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</row>
    <row r="58" spans="1:81" ht="16" x14ac:dyDescent="0.2">
      <c r="A58" s="1" t="s">
        <v>204</v>
      </c>
      <c r="B58" s="2">
        <v>481.12792999999999</v>
      </c>
      <c r="C58" s="2">
        <v>51.81</v>
      </c>
      <c r="D58" s="2">
        <v>0.56999999999999995</v>
      </c>
      <c r="E58" s="2">
        <v>14.86</v>
      </c>
      <c r="F58" s="2">
        <v>9.0500000000000007</v>
      </c>
      <c r="G58" s="2">
        <v>0.17</v>
      </c>
      <c r="H58" s="2">
        <v>8.74</v>
      </c>
      <c r="I58" s="2">
        <v>13.17</v>
      </c>
      <c r="J58" s="2">
        <v>1.59</v>
      </c>
      <c r="K58" s="2">
        <v>0.02</v>
      </c>
      <c r="L58" s="2">
        <v>0.04</v>
      </c>
      <c r="M58" s="2">
        <v>0.28000000000000003</v>
      </c>
      <c r="N58" s="2">
        <v>216</v>
      </c>
      <c r="O58" s="2">
        <v>776</v>
      </c>
      <c r="P58" s="2">
        <v>0.13600000000000001</v>
      </c>
      <c r="Q58" s="2"/>
      <c r="R58" s="3"/>
      <c r="S58" s="2"/>
      <c r="T58" s="2"/>
      <c r="U58" s="2"/>
      <c r="V58" s="2"/>
      <c r="W58" s="2"/>
      <c r="X58" s="2"/>
      <c r="Y58" s="2"/>
      <c r="Z58" s="2"/>
      <c r="AA58" s="2"/>
      <c r="AB58" s="3"/>
      <c r="AC58" s="2"/>
      <c r="AD58" s="2"/>
      <c r="AE58" s="2"/>
      <c r="AF58" s="3"/>
      <c r="AG58" s="2"/>
      <c r="AH58" s="2"/>
      <c r="AI58" s="2"/>
      <c r="AJ58" s="2"/>
      <c r="AK58" s="1"/>
      <c r="AL58" s="2"/>
      <c r="AM58" s="1"/>
      <c r="AN58" s="2"/>
      <c r="AO58" s="1"/>
      <c r="AP58" s="3"/>
      <c r="AQ58" s="2"/>
      <c r="AR58" s="2"/>
      <c r="AS58" s="2"/>
      <c r="AT58" s="2"/>
      <c r="AU58" s="2"/>
      <c r="AV58" s="2"/>
      <c r="AW58" s="2"/>
      <c r="AX58" s="3"/>
      <c r="AY58" s="2"/>
      <c r="AZ58" s="3"/>
      <c r="BA58" s="2"/>
      <c r="BB58" s="2"/>
      <c r="BC58" s="2"/>
      <c r="BD58" s="2"/>
      <c r="BE58" s="2"/>
      <c r="BF58" s="2"/>
      <c r="BG58" s="2"/>
      <c r="BH58" s="3"/>
      <c r="BI58" s="2"/>
      <c r="BJ58" s="3"/>
      <c r="BK58" s="2"/>
      <c r="BL58" s="2"/>
      <c r="BM58" s="2"/>
      <c r="BN58" s="2"/>
      <c r="BO58" s="2"/>
      <c r="BP58" s="2"/>
      <c r="BQ58" s="2"/>
      <c r="BR58" s="3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</row>
    <row r="59" spans="1:81" ht="16" x14ac:dyDescent="0.2">
      <c r="A59" s="1" t="s">
        <v>205</v>
      </c>
      <c r="B59" s="2">
        <v>227.78383299999999</v>
      </c>
      <c r="C59" s="2">
        <v>50.31</v>
      </c>
      <c r="D59" s="2">
        <v>1.099</v>
      </c>
      <c r="E59" s="2">
        <v>14.08</v>
      </c>
      <c r="F59" s="2">
        <v>11.34</v>
      </c>
      <c r="G59" s="2">
        <v>0.2</v>
      </c>
      <c r="H59" s="2">
        <v>8.0399999999999991</v>
      </c>
      <c r="I59" s="2">
        <v>12.02</v>
      </c>
      <c r="J59" s="2">
        <v>1.9</v>
      </c>
      <c r="K59" s="2">
        <v>5.0999999999999997E-2</v>
      </c>
      <c r="L59" s="2">
        <v>0.06</v>
      </c>
      <c r="M59" s="2">
        <v>0.21</v>
      </c>
      <c r="N59" s="2">
        <v>97</v>
      </c>
      <c r="O59" s="2">
        <v>1069.3699999999999</v>
      </c>
      <c r="P59" s="2">
        <v>0.161</v>
      </c>
      <c r="Q59" s="2"/>
      <c r="R59" s="3"/>
      <c r="S59" s="2"/>
      <c r="T59" s="2"/>
      <c r="U59" s="2"/>
      <c r="V59" s="2"/>
      <c r="W59" s="2"/>
      <c r="X59" s="2"/>
      <c r="Y59" s="2"/>
      <c r="Z59" s="2"/>
      <c r="AA59" s="3"/>
      <c r="AB59" s="3"/>
      <c r="AC59" s="2"/>
      <c r="AD59" s="2"/>
      <c r="AE59" s="2"/>
      <c r="AF59" s="3"/>
      <c r="AG59" s="2"/>
      <c r="AH59" s="2"/>
      <c r="AI59" s="2"/>
      <c r="AJ59" s="2"/>
      <c r="AK59" s="1"/>
      <c r="AL59" s="2"/>
      <c r="AM59" s="1"/>
      <c r="AN59" s="2"/>
      <c r="AO59" s="1"/>
      <c r="AP59" s="3"/>
      <c r="AQ59" s="2"/>
      <c r="AR59" s="2"/>
      <c r="AS59" s="2"/>
      <c r="AT59" s="2"/>
      <c r="AU59" s="2"/>
      <c r="AV59" s="2"/>
      <c r="AW59" s="2"/>
      <c r="AX59" s="3"/>
      <c r="AY59" s="2"/>
      <c r="AZ59" s="3"/>
      <c r="BA59" s="2"/>
      <c r="BB59" s="2"/>
      <c r="BC59" s="2"/>
      <c r="BD59" s="2"/>
      <c r="BE59" s="2"/>
      <c r="BF59" s="2"/>
      <c r="BG59" s="2"/>
      <c r="BH59" s="3"/>
      <c r="BI59" s="2"/>
      <c r="BJ59" s="3"/>
      <c r="BK59" s="2"/>
      <c r="BL59" s="2"/>
      <c r="BM59" s="2"/>
      <c r="BN59" s="2"/>
      <c r="BO59" s="2"/>
      <c r="BP59" s="2"/>
      <c r="BQ59" s="2"/>
      <c r="BR59" s="3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</row>
    <row r="60" spans="1:81" ht="16" x14ac:dyDescent="0.2">
      <c r="A60" s="1" t="s">
        <v>206</v>
      </c>
      <c r="B60" s="2">
        <v>192.82406800000001</v>
      </c>
      <c r="C60" s="2">
        <v>49.91</v>
      </c>
      <c r="D60" s="2">
        <v>1.246</v>
      </c>
      <c r="E60" s="2">
        <v>14.18</v>
      </c>
      <c r="F60" s="2">
        <v>11.37</v>
      </c>
      <c r="G60" s="2">
        <v>0.18</v>
      </c>
      <c r="H60" s="2">
        <v>7.68</v>
      </c>
      <c r="I60" s="2">
        <v>11.95</v>
      </c>
      <c r="J60" s="2">
        <v>2.06</v>
      </c>
      <c r="K60" s="2">
        <v>0.157</v>
      </c>
      <c r="L60" s="2">
        <v>0.10299999999999999</v>
      </c>
      <c r="M60" s="2">
        <v>0.32</v>
      </c>
      <c r="N60" s="2">
        <v>77</v>
      </c>
      <c r="O60" s="2">
        <v>1117.43</v>
      </c>
      <c r="P60" s="2">
        <v>0.16900000000000001</v>
      </c>
      <c r="Q60" s="2"/>
      <c r="R60" s="3"/>
      <c r="S60" s="2"/>
      <c r="T60" s="2"/>
      <c r="U60" s="2"/>
      <c r="V60" s="2"/>
      <c r="W60" s="2"/>
      <c r="X60" s="2"/>
      <c r="Y60" s="2"/>
      <c r="Z60" s="2"/>
      <c r="AA60" s="2"/>
      <c r="AB60" s="3"/>
      <c r="AC60" s="2"/>
      <c r="AD60" s="2"/>
      <c r="AE60" s="2"/>
      <c r="AF60" s="3"/>
      <c r="AG60" s="2"/>
      <c r="AH60" s="2"/>
      <c r="AI60" s="2"/>
      <c r="AJ60" s="2"/>
      <c r="AK60" s="1"/>
      <c r="AL60" s="2"/>
      <c r="AM60" s="1"/>
      <c r="AN60" s="2"/>
      <c r="AO60" s="1"/>
      <c r="AP60" s="3"/>
      <c r="AQ60" s="2"/>
      <c r="AR60" s="2"/>
      <c r="AS60" s="2"/>
      <c r="AT60" s="2"/>
      <c r="AU60" s="2"/>
      <c r="AV60" s="2"/>
      <c r="AW60" s="2"/>
      <c r="AX60" s="3"/>
      <c r="AY60" s="2"/>
      <c r="AZ60" s="3"/>
      <c r="BA60" s="2"/>
      <c r="BB60" s="2"/>
      <c r="BC60" s="2"/>
      <c r="BD60" s="2"/>
      <c r="BE60" s="2"/>
      <c r="BF60" s="2"/>
      <c r="BG60" s="2"/>
      <c r="BH60" s="3"/>
      <c r="BI60" s="2"/>
      <c r="BJ60" s="3"/>
      <c r="BK60" s="2"/>
      <c r="BL60" s="2"/>
      <c r="BM60" s="2"/>
      <c r="BN60" s="2"/>
      <c r="BO60" s="2"/>
      <c r="BP60" s="2"/>
      <c r="BQ60" s="2"/>
      <c r="BR60" s="3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</row>
    <row r="61" spans="1:81" ht="16" x14ac:dyDescent="0.2">
      <c r="A61" s="1" t="s">
        <v>207</v>
      </c>
      <c r="B61" s="2">
        <v>152.04204200000001</v>
      </c>
      <c r="C61" s="2">
        <v>50.08</v>
      </c>
      <c r="D61" s="2">
        <v>1.2629999999999999</v>
      </c>
      <c r="E61" s="2">
        <v>14.17</v>
      </c>
      <c r="F61" s="2">
        <v>11.55</v>
      </c>
      <c r="G61" s="2">
        <v>0.2</v>
      </c>
      <c r="H61" s="2">
        <v>7.72</v>
      </c>
      <c r="I61" s="2">
        <v>12.07</v>
      </c>
      <c r="J61" s="2">
        <v>2.0099999999999998</v>
      </c>
      <c r="K61" s="2">
        <v>0.14599999999999999</v>
      </c>
      <c r="L61" s="2">
        <v>9.8000000000000004E-2</v>
      </c>
      <c r="M61" s="2">
        <v>0.3</v>
      </c>
      <c r="N61" s="2">
        <v>59</v>
      </c>
      <c r="O61" s="2">
        <v>1137.45</v>
      </c>
      <c r="P61" s="2">
        <v>0.16889999999999999</v>
      </c>
      <c r="Q61" s="2"/>
      <c r="R61" s="3"/>
      <c r="S61" s="2"/>
      <c r="T61" s="2"/>
      <c r="U61" s="2"/>
      <c r="V61" s="2"/>
      <c r="W61" s="2"/>
      <c r="X61" s="2"/>
      <c r="Y61" s="2"/>
      <c r="Z61" s="2"/>
      <c r="AA61" s="2"/>
      <c r="AB61" s="3"/>
      <c r="AC61" s="2"/>
      <c r="AD61" s="2"/>
      <c r="AE61" s="2"/>
      <c r="AF61" s="3"/>
      <c r="AG61" s="2"/>
      <c r="AH61" s="2"/>
      <c r="AI61" s="2"/>
      <c r="AJ61" s="2"/>
      <c r="AK61" s="1"/>
      <c r="AL61" s="2"/>
      <c r="AM61" s="1"/>
      <c r="AN61" s="2"/>
      <c r="AO61" s="1"/>
      <c r="AP61" s="3"/>
      <c r="AQ61" s="2"/>
      <c r="AR61" s="2"/>
      <c r="AS61" s="2"/>
      <c r="AT61" s="2"/>
      <c r="AU61" s="2"/>
      <c r="AV61" s="2"/>
      <c r="AW61" s="2"/>
      <c r="AX61" s="3"/>
      <c r="AY61" s="2"/>
      <c r="AZ61" s="3"/>
      <c r="BA61" s="2"/>
      <c r="BB61" s="2"/>
      <c r="BC61" s="2"/>
      <c r="BD61" s="2"/>
      <c r="BE61" s="2"/>
      <c r="BF61" s="2"/>
      <c r="BG61" s="2"/>
      <c r="BH61" s="3"/>
      <c r="BI61" s="2"/>
      <c r="BJ61" s="3"/>
      <c r="BK61" s="2"/>
      <c r="BL61" s="2"/>
      <c r="BM61" s="2"/>
      <c r="BN61" s="2"/>
      <c r="BO61" s="2"/>
      <c r="BP61" s="2"/>
      <c r="BQ61" s="2"/>
      <c r="BR61" s="3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</row>
    <row r="62" spans="1:81" ht="16" x14ac:dyDescent="0.2">
      <c r="A62" s="1" t="s">
        <v>208</v>
      </c>
      <c r="B62" s="2">
        <v>221.00065499999999</v>
      </c>
      <c r="C62" s="2">
        <v>50.38</v>
      </c>
      <c r="D62" s="2">
        <v>1.0389999999999999</v>
      </c>
      <c r="E62" s="2">
        <v>14.53</v>
      </c>
      <c r="F62" s="2">
        <v>10.77</v>
      </c>
      <c r="G62" s="2">
        <v>0.18</v>
      </c>
      <c r="H62" s="2">
        <v>8.3800000000000008</v>
      </c>
      <c r="I62" s="2">
        <v>12</v>
      </c>
      <c r="J62" s="2">
        <v>1.97</v>
      </c>
      <c r="K62" s="2">
        <v>0.06</v>
      </c>
      <c r="L62" s="2">
        <v>6.9000000000000006E-2</v>
      </c>
      <c r="M62" s="2">
        <v>0.2</v>
      </c>
      <c r="N62" s="2">
        <v>94</v>
      </c>
      <c r="O62" s="2">
        <v>1073.3699999999999</v>
      </c>
      <c r="P62" s="2">
        <v>0.15920000000000001</v>
      </c>
      <c r="Q62" s="2"/>
      <c r="R62" s="3"/>
      <c r="S62" s="2"/>
      <c r="T62" s="2"/>
      <c r="U62" s="2"/>
      <c r="V62" s="2"/>
      <c r="W62" s="2"/>
      <c r="X62" s="2"/>
      <c r="Y62" s="2"/>
      <c r="Z62" s="2"/>
      <c r="AA62" s="3"/>
      <c r="AB62" s="3"/>
      <c r="AC62" s="2"/>
      <c r="AD62" s="2"/>
      <c r="AE62" s="2"/>
      <c r="AF62" s="3"/>
      <c r="AG62" s="2"/>
      <c r="AH62" s="2"/>
      <c r="AI62" s="2"/>
      <c r="AJ62" s="2"/>
      <c r="AK62" s="1"/>
      <c r="AL62" s="2"/>
      <c r="AM62" s="1"/>
      <c r="AN62" s="2"/>
      <c r="AO62" s="1"/>
      <c r="AP62" s="3"/>
      <c r="AQ62" s="2"/>
      <c r="AR62" s="2"/>
      <c r="AS62" s="2"/>
      <c r="AT62" s="2"/>
      <c r="AU62" s="2"/>
      <c r="AV62" s="2"/>
      <c r="AW62" s="2"/>
      <c r="AX62" s="3"/>
      <c r="AY62" s="2"/>
      <c r="AZ62" s="3"/>
      <c r="BA62" s="2"/>
      <c r="BB62" s="2"/>
      <c r="BC62" s="2"/>
      <c r="BD62" s="2"/>
      <c r="BE62" s="2"/>
      <c r="BF62" s="2"/>
      <c r="BG62" s="2"/>
      <c r="BH62" s="3"/>
      <c r="BI62" s="2"/>
      <c r="BJ62" s="3"/>
      <c r="BK62" s="2"/>
      <c r="BL62" s="2"/>
      <c r="BM62" s="2"/>
      <c r="BN62" s="2"/>
      <c r="BO62" s="2"/>
      <c r="BP62" s="2"/>
      <c r="BQ62" s="2"/>
      <c r="BR62" s="3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</row>
    <row r="63" spans="1:81" ht="16" x14ac:dyDescent="0.2">
      <c r="A63" s="1" t="s">
        <v>209</v>
      </c>
      <c r="B63" s="2">
        <v>203.00665900000001</v>
      </c>
      <c r="C63" s="2">
        <v>49.42</v>
      </c>
      <c r="D63" s="2">
        <v>0.84</v>
      </c>
      <c r="E63" s="2">
        <v>14.86</v>
      </c>
      <c r="F63" s="2">
        <v>10.15</v>
      </c>
      <c r="G63" s="2">
        <v>0.2</v>
      </c>
      <c r="H63" s="2">
        <v>8.66</v>
      </c>
      <c r="I63" s="2">
        <v>13.46</v>
      </c>
      <c r="J63" s="2">
        <v>1.76</v>
      </c>
      <c r="K63" s="2">
        <v>3.6999999999999998E-2</v>
      </c>
      <c r="L63" s="2">
        <v>3.5000000000000003E-2</v>
      </c>
      <c r="M63" s="2">
        <v>0.15</v>
      </c>
      <c r="N63" s="2">
        <v>88</v>
      </c>
      <c r="O63" s="2">
        <v>676.87</v>
      </c>
      <c r="P63" s="2">
        <v>0.16719999999999999</v>
      </c>
      <c r="Q63" s="2"/>
      <c r="R63" s="3"/>
      <c r="S63" s="2"/>
      <c r="T63" s="2"/>
      <c r="U63" s="2"/>
      <c r="V63" s="2"/>
      <c r="W63" s="2"/>
      <c r="X63" s="2"/>
      <c r="Y63" s="2"/>
      <c r="Z63" s="2"/>
      <c r="AA63" s="3"/>
      <c r="AB63" s="3"/>
      <c r="AC63" s="2"/>
      <c r="AD63" s="2"/>
      <c r="AE63" s="2"/>
      <c r="AF63" s="3"/>
      <c r="AG63" s="2"/>
      <c r="AH63" s="2"/>
      <c r="AI63" s="2"/>
      <c r="AJ63" s="2"/>
      <c r="AK63" s="1"/>
      <c r="AL63" s="2"/>
      <c r="AM63" s="1"/>
      <c r="AN63" s="2"/>
      <c r="AO63" s="1"/>
      <c r="AP63" s="3"/>
      <c r="AQ63" s="2"/>
      <c r="AR63" s="2"/>
      <c r="AS63" s="2"/>
      <c r="AT63" s="2"/>
      <c r="AU63" s="2"/>
      <c r="AV63" s="2"/>
      <c r="AW63" s="2"/>
      <c r="AX63" s="3"/>
      <c r="AY63" s="2"/>
      <c r="AZ63" s="3"/>
      <c r="BA63" s="2"/>
      <c r="BB63" s="2"/>
      <c r="BC63" s="2"/>
      <c r="BD63" s="2"/>
      <c r="BE63" s="2"/>
      <c r="BF63" s="2"/>
      <c r="BG63" s="2"/>
      <c r="BH63" s="3"/>
      <c r="BI63" s="2"/>
      <c r="BJ63" s="3"/>
      <c r="BK63" s="2"/>
      <c r="BL63" s="2"/>
      <c r="BM63" s="2"/>
      <c r="BN63" s="2"/>
      <c r="BO63" s="2"/>
      <c r="BP63" s="2"/>
      <c r="BQ63" s="2"/>
      <c r="BR63" s="3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</row>
    <row r="64" spans="1:81" ht="16" x14ac:dyDescent="0.2">
      <c r="A64" s="1" t="s">
        <v>210</v>
      </c>
      <c r="B64" s="2">
        <v>217.940707</v>
      </c>
      <c r="C64" s="2">
        <v>50.72</v>
      </c>
      <c r="D64" s="2">
        <v>1.131</v>
      </c>
      <c r="E64" s="2">
        <v>14.04</v>
      </c>
      <c r="F64" s="2">
        <v>11.5</v>
      </c>
      <c r="G64" s="2">
        <v>0.21</v>
      </c>
      <c r="H64" s="2">
        <v>7.67</v>
      </c>
      <c r="I64" s="2">
        <v>11.76</v>
      </c>
      <c r="J64" s="2">
        <v>2.0299999999999998</v>
      </c>
      <c r="K64" s="2">
        <v>7.2999999999999995E-2</v>
      </c>
      <c r="L64" s="2">
        <v>5.8000000000000003E-2</v>
      </c>
      <c r="M64" s="2">
        <v>0.2</v>
      </c>
      <c r="N64" s="2">
        <v>93</v>
      </c>
      <c r="O64" s="2">
        <v>1077.3800000000001</v>
      </c>
      <c r="P64" s="2">
        <v>0.15909999999999999</v>
      </c>
      <c r="Q64" s="2"/>
      <c r="R64" s="3"/>
      <c r="S64" s="2"/>
      <c r="T64" s="2"/>
      <c r="U64" s="2"/>
      <c r="V64" s="2"/>
      <c r="W64" s="2"/>
      <c r="X64" s="2"/>
      <c r="Y64" s="2"/>
      <c r="Z64" s="2"/>
      <c r="AA64" s="3"/>
      <c r="AB64" s="3"/>
      <c r="AC64" s="2"/>
      <c r="AD64" s="2"/>
      <c r="AE64" s="2"/>
      <c r="AF64" s="3"/>
      <c r="AG64" s="2"/>
      <c r="AH64" s="2"/>
      <c r="AI64" s="2"/>
      <c r="AJ64" s="2"/>
      <c r="AK64" s="1"/>
      <c r="AL64" s="2"/>
      <c r="AM64" s="1"/>
      <c r="AN64" s="2"/>
      <c r="AO64" s="1"/>
      <c r="AP64" s="3"/>
      <c r="AQ64" s="2"/>
      <c r="AR64" s="2"/>
      <c r="AS64" s="2"/>
      <c r="AT64" s="2"/>
      <c r="AU64" s="2"/>
      <c r="AV64" s="2"/>
      <c r="AW64" s="2"/>
      <c r="AX64" s="3"/>
      <c r="AY64" s="2"/>
      <c r="AZ64" s="3"/>
      <c r="BA64" s="2"/>
      <c r="BB64" s="2"/>
      <c r="BC64" s="2"/>
      <c r="BD64" s="2"/>
      <c r="BE64" s="2"/>
      <c r="BF64" s="2"/>
      <c r="BG64" s="2"/>
      <c r="BH64" s="3"/>
      <c r="BI64" s="2"/>
      <c r="BJ64" s="3"/>
      <c r="BK64" s="2"/>
      <c r="BL64" s="2"/>
      <c r="BM64" s="2"/>
      <c r="BN64" s="2"/>
      <c r="BO64" s="2"/>
      <c r="BP64" s="2"/>
      <c r="BQ64" s="2"/>
      <c r="BR64" s="3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</row>
    <row r="65" spans="1:81" ht="16" x14ac:dyDescent="0.2">
      <c r="A65" s="1" t="s">
        <v>211</v>
      </c>
      <c r="B65" s="2">
        <v>75.638997399999994</v>
      </c>
      <c r="C65" s="2">
        <v>50.35</v>
      </c>
      <c r="D65" s="2">
        <v>0.996</v>
      </c>
      <c r="E65" s="2">
        <v>14.36</v>
      </c>
      <c r="F65" s="2">
        <v>10.66</v>
      </c>
      <c r="G65" s="2">
        <v>0.18</v>
      </c>
      <c r="H65" s="2">
        <v>7.97</v>
      </c>
      <c r="I65" s="2">
        <v>11.96</v>
      </c>
      <c r="J65" s="2">
        <v>2.06</v>
      </c>
      <c r="K65" s="2">
        <v>6.7000000000000004E-2</v>
      </c>
      <c r="L65" s="2">
        <v>6.7000000000000004E-2</v>
      </c>
      <c r="M65" s="2">
        <v>0.19</v>
      </c>
      <c r="N65" s="2">
        <v>29</v>
      </c>
      <c r="O65" s="2">
        <v>1065.3599999999999</v>
      </c>
      <c r="P65" s="2">
        <v>0.1565</v>
      </c>
      <c r="Q65" s="2"/>
      <c r="R65" s="3"/>
      <c r="S65" s="2"/>
      <c r="T65" s="2"/>
      <c r="U65" s="2"/>
      <c r="V65" s="2"/>
      <c r="W65" s="2"/>
      <c r="X65" s="2"/>
      <c r="Y65" s="2"/>
      <c r="Z65" s="2"/>
      <c r="AA65" s="3"/>
      <c r="AB65" s="3"/>
      <c r="AC65" s="2"/>
      <c r="AD65" s="2"/>
      <c r="AE65" s="2"/>
      <c r="AF65" s="3"/>
      <c r="AG65" s="2"/>
      <c r="AH65" s="2"/>
      <c r="AI65" s="2"/>
      <c r="AJ65" s="2"/>
      <c r="AK65" s="1"/>
      <c r="AL65" s="2"/>
      <c r="AM65" s="1"/>
      <c r="AN65" s="2"/>
      <c r="AO65" s="1"/>
      <c r="AP65" s="3"/>
      <c r="AQ65" s="2"/>
      <c r="AR65" s="2"/>
      <c r="AS65" s="2"/>
      <c r="AT65" s="2"/>
      <c r="AU65" s="2"/>
      <c r="AV65" s="2"/>
      <c r="AW65" s="2"/>
      <c r="AX65" s="3"/>
      <c r="AY65" s="2"/>
      <c r="AZ65" s="3"/>
      <c r="BA65" s="2"/>
      <c r="BB65" s="2"/>
      <c r="BC65" s="2"/>
      <c r="BD65" s="2"/>
      <c r="BE65" s="2"/>
      <c r="BF65" s="2"/>
      <c r="BG65" s="2"/>
      <c r="BH65" s="3"/>
      <c r="BI65" s="2"/>
      <c r="BJ65" s="3"/>
      <c r="BK65" s="2"/>
      <c r="BL65" s="2"/>
      <c r="BM65" s="2"/>
      <c r="BN65" s="2"/>
      <c r="BO65" s="2"/>
      <c r="BP65" s="2"/>
      <c r="BQ65" s="2"/>
      <c r="BR65" s="3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</row>
    <row r="66" spans="1:81" ht="16" x14ac:dyDescent="0.2">
      <c r="A66" s="1" t="s">
        <v>212</v>
      </c>
      <c r="B66" s="2">
        <v>168.004874</v>
      </c>
      <c r="C66" s="2">
        <v>50.08</v>
      </c>
      <c r="D66" s="2">
        <v>1.129</v>
      </c>
      <c r="E66" s="2">
        <v>14.17</v>
      </c>
      <c r="F66" s="2">
        <v>11.31</v>
      </c>
      <c r="G66" s="2">
        <v>0.17</v>
      </c>
      <c r="H66" s="2">
        <v>8.17</v>
      </c>
      <c r="I66" s="2">
        <v>11.79</v>
      </c>
      <c r="J66" s="2">
        <v>1.99</v>
      </c>
      <c r="K66" s="2">
        <v>6.7000000000000004E-2</v>
      </c>
      <c r="L66" s="2">
        <v>0.10199999999999999</v>
      </c>
      <c r="M66" s="2">
        <v>0.19</v>
      </c>
      <c r="N66" s="2">
        <v>70</v>
      </c>
      <c r="O66" s="2">
        <v>1145.46</v>
      </c>
      <c r="P66" s="2">
        <v>0.15890000000000001</v>
      </c>
      <c r="Q66" s="2"/>
      <c r="R66" s="3"/>
      <c r="S66" s="2"/>
      <c r="T66" s="2"/>
      <c r="U66" s="2"/>
      <c r="V66" s="2"/>
      <c r="W66" s="2"/>
      <c r="X66" s="2"/>
      <c r="Y66" s="2"/>
      <c r="Z66" s="2"/>
      <c r="AA66" s="3"/>
      <c r="AB66" s="3"/>
      <c r="AC66" s="2"/>
      <c r="AD66" s="2"/>
      <c r="AE66" s="2"/>
      <c r="AF66" s="3"/>
      <c r="AG66" s="2"/>
      <c r="AH66" s="2"/>
      <c r="AI66" s="2"/>
      <c r="AJ66" s="2"/>
      <c r="AK66" s="1"/>
      <c r="AL66" s="2"/>
      <c r="AM66" s="1"/>
      <c r="AN66" s="2"/>
      <c r="AO66" s="1"/>
      <c r="AP66" s="3"/>
      <c r="AQ66" s="2"/>
      <c r="AR66" s="2"/>
      <c r="AS66" s="2"/>
      <c r="AT66" s="2"/>
      <c r="AU66" s="2"/>
      <c r="AV66" s="2"/>
      <c r="AW66" s="2"/>
      <c r="AX66" s="3"/>
      <c r="AY66" s="2"/>
      <c r="AZ66" s="3"/>
      <c r="BA66" s="2"/>
      <c r="BB66" s="2"/>
      <c r="BC66" s="2"/>
      <c r="BD66" s="2"/>
      <c r="BE66" s="2"/>
      <c r="BF66" s="2"/>
      <c r="BG66" s="2"/>
      <c r="BH66" s="3"/>
      <c r="BI66" s="2"/>
      <c r="BJ66" s="3"/>
      <c r="BK66" s="2"/>
      <c r="BL66" s="2"/>
      <c r="BM66" s="2"/>
      <c r="BN66" s="2"/>
      <c r="BO66" s="2"/>
      <c r="BP66" s="2"/>
      <c r="BQ66" s="2"/>
      <c r="BR66" s="3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</row>
    <row r="67" spans="1:81" ht="16" x14ac:dyDescent="0.2">
      <c r="A67" s="1" t="s">
        <v>213</v>
      </c>
      <c r="B67" s="2">
        <v>203.415572</v>
      </c>
      <c r="C67" s="2">
        <v>50.06</v>
      </c>
      <c r="D67" s="2">
        <v>1.1539999999999999</v>
      </c>
      <c r="E67" s="2">
        <v>13.96</v>
      </c>
      <c r="F67" s="2">
        <v>11.11</v>
      </c>
      <c r="G67" s="2">
        <v>0.17</v>
      </c>
      <c r="H67" s="2">
        <v>8.0299999999999994</v>
      </c>
      <c r="I67" s="2">
        <v>11.63</v>
      </c>
      <c r="J67" s="2">
        <v>2.0299999999999998</v>
      </c>
      <c r="K67" s="2">
        <v>7.1999999999999995E-2</v>
      </c>
      <c r="L67" s="2">
        <v>0.10100000000000001</v>
      </c>
      <c r="M67" s="2">
        <v>0.22</v>
      </c>
      <c r="N67" s="2">
        <v>85</v>
      </c>
      <c r="O67" s="2">
        <v>1197.53</v>
      </c>
      <c r="P67" s="2">
        <v>0.1605</v>
      </c>
      <c r="Q67" s="2"/>
      <c r="R67" s="3"/>
      <c r="S67" s="2"/>
      <c r="T67" s="2"/>
      <c r="U67" s="2"/>
      <c r="V67" s="2"/>
      <c r="W67" s="2"/>
      <c r="X67" s="2"/>
      <c r="Y67" s="2"/>
      <c r="Z67" s="2"/>
      <c r="AA67" s="3"/>
      <c r="AB67" s="3"/>
      <c r="AC67" s="2"/>
      <c r="AD67" s="2"/>
      <c r="AE67" s="2"/>
      <c r="AF67" s="3"/>
      <c r="AG67" s="2"/>
      <c r="AH67" s="2"/>
      <c r="AI67" s="2"/>
      <c r="AJ67" s="2"/>
      <c r="AK67" s="1"/>
      <c r="AL67" s="2"/>
      <c r="AM67" s="1"/>
      <c r="AN67" s="2"/>
      <c r="AO67" s="1"/>
      <c r="AP67" s="3"/>
      <c r="AQ67" s="2"/>
      <c r="AR67" s="2"/>
      <c r="AS67" s="2"/>
      <c r="AT67" s="2"/>
      <c r="AU67" s="2"/>
      <c r="AV67" s="2"/>
      <c r="AW67" s="2"/>
      <c r="AX67" s="3"/>
      <c r="AY67" s="2"/>
      <c r="AZ67" s="3"/>
      <c r="BA67" s="2"/>
      <c r="BB67" s="2"/>
      <c r="BC67" s="2"/>
      <c r="BD67" s="2"/>
      <c r="BE67" s="2"/>
      <c r="BF67" s="2"/>
      <c r="BG67" s="2"/>
      <c r="BH67" s="3"/>
      <c r="BI67" s="2"/>
      <c r="BJ67" s="3"/>
      <c r="BK67" s="2"/>
      <c r="BL67" s="2"/>
      <c r="BM67" s="2"/>
      <c r="BN67" s="2"/>
      <c r="BO67" s="2"/>
      <c r="BP67" s="2"/>
      <c r="BQ67" s="2"/>
      <c r="BR67" s="3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</row>
    <row r="68" spans="1:81" ht="16" x14ac:dyDescent="0.2">
      <c r="A68" s="1" t="s">
        <v>214</v>
      </c>
      <c r="B68" s="2">
        <v>137.81605500000001</v>
      </c>
      <c r="C68" s="2">
        <v>49.84</v>
      </c>
      <c r="D68" s="2">
        <v>1.0409999999999999</v>
      </c>
      <c r="E68" s="2">
        <v>14.51</v>
      </c>
      <c r="F68" s="2">
        <v>11.38</v>
      </c>
      <c r="G68" s="2">
        <v>0.2</v>
      </c>
      <c r="H68" s="2">
        <v>8.2899999999999991</v>
      </c>
      <c r="I68" s="2">
        <v>11.82</v>
      </c>
      <c r="J68" s="2">
        <v>2.04</v>
      </c>
      <c r="K68" s="2">
        <v>5.0999999999999997E-2</v>
      </c>
      <c r="L68" s="2">
        <v>6.9000000000000006E-2</v>
      </c>
      <c r="M68" s="2">
        <v>0.2</v>
      </c>
      <c r="N68" s="2">
        <v>56</v>
      </c>
      <c r="O68" s="2">
        <v>1121.43</v>
      </c>
      <c r="P68" s="2">
        <v>0.16020000000000001</v>
      </c>
      <c r="Q68" s="2"/>
      <c r="R68" s="3"/>
      <c r="S68" s="2"/>
      <c r="T68" s="2"/>
      <c r="U68" s="2"/>
      <c r="V68" s="2"/>
      <c r="W68" s="2"/>
      <c r="X68" s="2"/>
      <c r="Y68" s="2"/>
      <c r="Z68" s="2"/>
      <c r="AA68" s="3"/>
      <c r="AB68" s="3"/>
      <c r="AC68" s="2"/>
      <c r="AD68" s="2"/>
      <c r="AE68" s="2"/>
      <c r="AF68" s="3"/>
      <c r="AG68" s="2"/>
      <c r="AH68" s="2"/>
      <c r="AI68" s="2"/>
      <c r="AJ68" s="2"/>
      <c r="AK68" s="1"/>
      <c r="AL68" s="2"/>
      <c r="AM68" s="1"/>
      <c r="AN68" s="2"/>
      <c r="AO68" s="1"/>
      <c r="AP68" s="3"/>
      <c r="AQ68" s="2"/>
      <c r="AR68" s="2"/>
      <c r="AS68" s="2"/>
      <c r="AT68" s="2"/>
      <c r="AU68" s="2"/>
      <c r="AV68" s="2"/>
      <c r="AW68" s="2"/>
      <c r="AX68" s="3"/>
      <c r="AY68" s="2"/>
      <c r="AZ68" s="3"/>
      <c r="BA68" s="2"/>
      <c r="BB68" s="2"/>
      <c r="BC68" s="2"/>
      <c r="BD68" s="2"/>
      <c r="BE68" s="2"/>
      <c r="BF68" s="2"/>
      <c r="BG68" s="2"/>
      <c r="BH68" s="3"/>
      <c r="BI68" s="2"/>
      <c r="BJ68" s="3"/>
      <c r="BK68" s="2"/>
      <c r="BL68" s="2"/>
      <c r="BM68" s="2"/>
      <c r="BN68" s="2"/>
      <c r="BO68" s="2"/>
      <c r="BP68" s="2"/>
      <c r="BQ68" s="2"/>
      <c r="BR68" s="3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</row>
    <row r="69" spans="1:81" ht="16" x14ac:dyDescent="0.2">
      <c r="A69" s="1" t="s">
        <v>215</v>
      </c>
      <c r="B69" s="2">
        <v>92.741230099999996</v>
      </c>
      <c r="C69" s="2">
        <v>50.44</v>
      </c>
      <c r="D69" s="2">
        <v>1.1850000000000001</v>
      </c>
      <c r="E69" s="2">
        <v>14.16</v>
      </c>
      <c r="F69" s="2">
        <v>11.61</v>
      </c>
      <c r="G69" s="2">
        <v>0.2</v>
      </c>
      <c r="H69" s="2">
        <v>7.59</v>
      </c>
      <c r="I69" s="2">
        <v>11.98</v>
      </c>
      <c r="J69" s="2">
        <v>2.13</v>
      </c>
      <c r="K69" s="2">
        <v>6.8000000000000005E-2</v>
      </c>
      <c r="L69" s="2">
        <v>9.5000000000000001E-2</v>
      </c>
      <c r="M69" s="2">
        <v>0.23</v>
      </c>
      <c r="N69" s="2">
        <v>35</v>
      </c>
      <c r="O69" s="2">
        <v>1217.56</v>
      </c>
      <c r="P69" s="2">
        <v>0.16209999999999999</v>
      </c>
      <c r="Q69" s="2"/>
      <c r="R69" s="3"/>
      <c r="S69" s="2"/>
      <c r="T69" s="2"/>
      <c r="U69" s="2"/>
      <c r="V69" s="2"/>
      <c r="W69" s="2"/>
      <c r="X69" s="2"/>
      <c r="Y69" s="2"/>
      <c r="Z69" s="2"/>
      <c r="AA69" s="2"/>
      <c r="AB69" s="3"/>
      <c r="AC69" s="2"/>
      <c r="AD69" s="2"/>
      <c r="AE69" s="2"/>
      <c r="AF69" s="3"/>
      <c r="AG69" s="2"/>
      <c r="AH69" s="2"/>
      <c r="AI69" s="2"/>
      <c r="AJ69" s="2"/>
      <c r="AK69" s="1"/>
      <c r="AL69" s="2"/>
      <c r="AM69" s="1"/>
      <c r="AN69" s="2"/>
      <c r="AO69" s="1"/>
      <c r="AP69" s="3"/>
      <c r="AQ69" s="2"/>
      <c r="AR69" s="2"/>
      <c r="AS69" s="2"/>
      <c r="AT69" s="2"/>
      <c r="AU69" s="2"/>
      <c r="AV69" s="2"/>
      <c r="AW69" s="2"/>
      <c r="AX69" s="3"/>
      <c r="AY69" s="2"/>
      <c r="AZ69" s="3"/>
      <c r="BA69" s="2"/>
      <c r="BB69" s="2"/>
      <c r="BC69" s="2"/>
      <c r="BD69" s="2"/>
      <c r="BE69" s="2"/>
      <c r="BF69" s="2"/>
      <c r="BG69" s="2"/>
      <c r="BH69" s="3"/>
      <c r="BI69" s="2"/>
      <c r="BJ69" s="3"/>
      <c r="BK69" s="2"/>
      <c r="BL69" s="2"/>
      <c r="BM69" s="2"/>
      <c r="BN69" s="2"/>
      <c r="BO69" s="2"/>
      <c r="BP69" s="2"/>
      <c r="BQ69" s="2"/>
      <c r="BR69" s="3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</row>
    <row r="70" spans="1:81" ht="16" x14ac:dyDescent="0.2">
      <c r="A70" s="1" t="s">
        <v>216</v>
      </c>
      <c r="B70" s="2">
        <v>127.00510199999999</v>
      </c>
      <c r="C70" s="2">
        <v>50.58</v>
      </c>
      <c r="D70" s="2">
        <v>1.1830000000000001</v>
      </c>
      <c r="E70" s="2">
        <v>13.41</v>
      </c>
      <c r="F70" s="2">
        <v>11.62</v>
      </c>
      <c r="G70" s="2">
        <v>0.21</v>
      </c>
      <c r="H70" s="2">
        <v>7.36</v>
      </c>
      <c r="I70" s="2">
        <v>12.18</v>
      </c>
      <c r="J70" s="2">
        <v>2.0099999999999998</v>
      </c>
      <c r="K70" s="2">
        <v>7.0000000000000007E-2</v>
      </c>
      <c r="L70" s="2">
        <v>8.2000000000000003E-2</v>
      </c>
      <c r="M70" s="2">
        <v>0.2</v>
      </c>
      <c r="N70" s="2">
        <v>52</v>
      </c>
      <c r="O70" s="2">
        <v>1165.49</v>
      </c>
      <c r="P70" s="2">
        <v>0.1598</v>
      </c>
      <c r="Q70" s="2"/>
      <c r="R70" s="3"/>
      <c r="S70" s="2"/>
      <c r="T70" s="2"/>
      <c r="U70" s="2"/>
      <c r="V70" s="2"/>
      <c r="W70" s="2"/>
      <c r="X70" s="2"/>
      <c r="Y70" s="2"/>
      <c r="Z70" s="2"/>
      <c r="AA70" s="2"/>
      <c r="AB70" s="3"/>
      <c r="AC70" s="2"/>
      <c r="AD70" s="2"/>
      <c r="AE70" s="2"/>
      <c r="AF70" s="3"/>
      <c r="AG70" s="2"/>
      <c r="AH70" s="2"/>
      <c r="AI70" s="2"/>
      <c r="AJ70" s="2"/>
      <c r="AK70" s="1"/>
      <c r="AL70" s="2"/>
      <c r="AM70" s="1"/>
      <c r="AN70" s="2"/>
      <c r="AO70" s="1"/>
      <c r="AP70" s="3"/>
      <c r="AQ70" s="2"/>
      <c r="AR70" s="2"/>
      <c r="AS70" s="2"/>
      <c r="AT70" s="2"/>
      <c r="AU70" s="2"/>
      <c r="AV70" s="2"/>
      <c r="AW70" s="2"/>
      <c r="AX70" s="3"/>
      <c r="AY70" s="2"/>
      <c r="AZ70" s="3"/>
      <c r="BA70" s="2"/>
      <c r="BB70" s="2"/>
      <c r="BC70" s="2"/>
      <c r="BD70" s="2"/>
      <c r="BE70" s="2"/>
      <c r="BF70" s="2"/>
      <c r="BG70" s="2"/>
      <c r="BH70" s="3"/>
      <c r="BI70" s="2"/>
      <c r="BJ70" s="3"/>
      <c r="BK70" s="2"/>
      <c r="BL70" s="2"/>
      <c r="BM70" s="2"/>
      <c r="BN70" s="2"/>
      <c r="BO70" s="2"/>
      <c r="BP70" s="2"/>
      <c r="BQ70" s="2"/>
      <c r="BR70" s="3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</row>
    <row r="71" spans="1:81" ht="16" x14ac:dyDescent="0.2">
      <c r="A71" s="1" t="s">
        <v>217</v>
      </c>
      <c r="B71" s="2">
        <v>106.95898</v>
      </c>
      <c r="C71" s="2">
        <v>51.29</v>
      </c>
      <c r="D71" s="2">
        <v>1.3480000000000001</v>
      </c>
      <c r="E71" s="2">
        <v>13.35</v>
      </c>
      <c r="F71" s="2">
        <v>13.2</v>
      </c>
      <c r="G71" s="2">
        <v>0.22</v>
      </c>
      <c r="H71" s="2">
        <v>6.78</v>
      </c>
      <c r="I71" s="2">
        <v>11.51</v>
      </c>
      <c r="J71" s="2">
        <v>2.16</v>
      </c>
      <c r="K71" s="2">
        <v>8.1000000000000003E-2</v>
      </c>
      <c r="L71" s="2">
        <v>8.5000000000000006E-2</v>
      </c>
      <c r="M71" s="2">
        <v>0.22</v>
      </c>
      <c r="N71" s="2">
        <v>41</v>
      </c>
      <c r="O71" s="2">
        <v>1301.6600000000001</v>
      </c>
      <c r="P71" s="2">
        <v>0.1663</v>
      </c>
      <c r="Q71" s="2"/>
      <c r="R71" s="3"/>
      <c r="S71" s="2"/>
      <c r="T71" s="2"/>
      <c r="U71" s="2"/>
      <c r="V71" s="2"/>
      <c r="W71" s="2"/>
      <c r="X71" s="2"/>
      <c r="Y71" s="2"/>
      <c r="Z71" s="2"/>
      <c r="AA71" s="3"/>
      <c r="AB71" s="3"/>
      <c r="AC71" s="2"/>
      <c r="AD71" s="2"/>
      <c r="AE71" s="2"/>
      <c r="AF71" s="3"/>
      <c r="AG71" s="2"/>
      <c r="AH71" s="2"/>
      <c r="AI71" s="2"/>
      <c r="AJ71" s="2"/>
      <c r="AK71" s="1"/>
      <c r="AL71" s="2"/>
      <c r="AM71" s="1"/>
      <c r="AN71" s="2"/>
      <c r="AO71" s="1"/>
      <c r="AP71" s="3"/>
      <c r="AQ71" s="2"/>
      <c r="AR71" s="2"/>
      <c r="AS71" s="2"/>
      <c r="AT71" s="2"/>
      <c r="AU71" s="2"/>
      <c r="AV71" s="2"/>
      <c r="AW71" s="2"/>
      <c r="AX71" s="3"/>
      <c r="AY71" s="2"/>
      <c r="AZ71" s="3"/>
      <c r="BA71" s="2"/>
      <c r="BB71" s="2"/>
      <c r="BC71" s="2"/>
      <c r="BD71" s="2"/>
      <c r="BE71" s="2"/>
      <c r="BF71" s="2"/>
      <c r="BG71" s="2"/>
      <c r="BH71" s="3"/>
      <c r="BI71" s="2"/>
      <c r="BJ71" s="3"/>
      <c r="BK71" s="2"/>
      <c r="BL71" s="2"/>
      <c r="BM71" s="2"/>
      <c r="BN71" s="2"/>
      <c r="BO71" s="2"/>
      <c r="BP71" s="2"/>
      <c r="BQ71" s="2"/>
      <c r="BR71" s="3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</row>
    <row r="72" spans="1:81" ht="16" x14ac:dyDescent="0.2">
      <c r="A72" s="1" t="s">
        <v>218</v>
      </c>
      <c r="B72" s="2">
        <v>91.198953099999997</v>
      </c>
      <c r="C72" s="2">
        <v>50.49</v>
      </c>
      <c r="D72" s="2">
        <v>1.1559999999999999</v>
      </c>
      <c r="E72" s="2">
        <v>13.67</v>
      </c>
      <c r="F72" s="2">
        <v>12.15</v>
      </c>
      <c r="G72" s="2">
        <v>0.22</v>
      </c>
      <c r="H72" s="2">
        <v>7.41</v>
      </c>
      <c r="I72" s="2">
        <v>11.85</v>
      </c>
      <c r="J72" s="2">
        <v>2.09</v>
      </c>
      <c r="K72" s="2">
        <v>5.5E-2</v>
      </c>
      <c r="L72" s="2">
        <v>7.2999999999999995E-2</v>
      </c>
      <c r="M72" s="2">
        <v>0.18</v>
      </c>
      <c r="N72" s="2">
        <v>36</v>
      </c>
      <c r="O72" s="2">
        <v>1189.52</v>
      </c>
      <c r="P72" s="2">
        <v>0.15989999999999999</v>
      </c>
      <c r="Q72" s="2"/>
      <c r="R72" s="3"/>
      <c r="S72" s="2"/>
      <c r="T72" s="2"/>
      <c r="U72" s="2"/>
      <c r="V72" s="2"/>
      <c r="W72" s="2"/>
      <c r="X72" s="2"/>
      <c r="Y72" s="2"/>
      <c r="Z72" s="2"/>
      <c r="AA72" s="3"/>
      <c r="AB72" s="3"/>
      <c r="AC72" s="2"/>
      <c r="AD72" s="2"/>
      <c r="AE72" s="2"/>
      <c r="AF72" s="3"/>
      <c r="AG72" s="2"/>
      <c r="AH72" s="2"/>
      <c r="AI72" s="2"/>
      <c r="AJ72" s="2"/>
      <c r="AK72" s="1"/>
      <c r="AL72" s="2"/>
      <c r="AM72" s="1"/>
      <c r="AN72" s="2"/>
      <c r="AO72" s="1"/>
      <c r="AP72" s="3"/>
      <c r="AQ72" s="2"/>
      <c r="AR72" s="2"/>
      <c r="AS72" s="2"/>
      <c r="AT72" s="2"/>
      <c r="AU72" s="2"/>
      <c r="AV72" s="2"/>
      <c r="AW72" s="2"/>
      <c r="AX72" s="3"/>
      <c r="AY72" s="2"/>
      <c r="AZ72" s="3"/>
      <c r="BA72" s="2"/>
      <c r="BB72" s="2"/>
      <c r="BC72" s="2"/>
      <c r="BD72" s="2"/>
      <c r="BE72" s="2"/>
      <c r="BF72" s="2"/>
      <c r="BG72" s="2"/>
      <c r="BH72" s="3"/>
      <c r="BI72" s="2"/>
      <c r="BJ72" s="3"/>
      <c r="BK72" s="2"/>
      <c r="BL72" s="2"/>
      <c r="BM72" s="2"/>
      <c r="BN72" s="2"/>
      <c r="BO72" s="2"/>
      <c r="BP72" s="2"/>
      <c r="BQ72" s="2"/>
      <c r="BR72" s="3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</row>
    <row r="73" spans="1:81" ht="16" x14ac:dyDescent="0.2">
      <c r="A73" s="1" t="s">
        <v>219</v>
      </c>
      <c r="B73" s="2">
        <v>152.63364999999999</v>
      </c>
      <c r="C73" s="2">
        <v>50.56</v>
      </c>
      <c r="D73" s="2">
        <v>0.95699999999999996</v>
      </c>
      <c r="E73" s="2">
        <v>14.2</v>
      </c>
      <c r="F73" s="2">
        <v>11.55</v>
      </c>
      <c r="G73" s="2">
        <v>0.18</v>
      </c>
      <c r="H73" s="2">
        <v>7.93</v>
      </c>
      <c r="I73" s="2">
        <v>12.7</v>
      </c>
      <c r="J73" s="2">
        <v>1.96</v>
      </c>
      <c r="K73" s="2">
        <v>3.4000000000000002E-2</v>
      </c>
      <c r="L73" s="2">
        <v>6.3E-2</v>
      </c>
      <c r="M73" s="2">
        <v>0.13</v>
      </c>
      <c r="N73" s="2">
        <v>65</v>
      </c>
      <c r="O73" s="2">
        <v>1057.3499999999999</v>
      </c>
      <c r="P73" s="2">
        <v>0.15809999999999999</v>
      </c>
      <c r="Q73" s="2"/>
      <c r="R73" s="3"/>
      <c r="S73" s="2"/>
      <c r="T73" s="2"/>
      <c r="U73" s="2"/>
      <c r="V73" s="2"/>
      <c r="W73" s="2"/>
      <c r="X73" s="2"/>
      <c r="Y73" s="2"/>
      <c r="Z73" s="2"/>
      <c r="AA73" s="3"/>
      <c r="AB73" s="3"/>
      <c r="AC73" s="2"/>
      <c r="AD73" s="2"/>
      <c r="AE73" s="2"/>
      <c r="AF73" s="3"/>
      <c r="AG73" s="2"/>
      <c r="AH73" s="2"/>
      <c r="AI73" s="2"/>
      <c r="AJ73" s="2"/>
      <c r="AK73" s="1"/>
      <c r="AL73" s="2"/>
      <c r="AM73" s="1"/>
      <c r="AN73" s="2"/>
      <c r="AO73" s="1"/>
      <c r="AP73" s="3"/>
      <c r="AQ73" s="2"/>
      <c r="AR73" s="2"/>
      <c r="AS73" s="2"/>
      <c r="AT73" s="2"/>
      <c r="AU73" s="2"/>
      <c r="AV73" s="2"/>
      <c r="AW73" s="2"/>
      <c r="AX73" s="3"/>
      <c r="AY73" s="2"/>
      <c r="AZ73" s="3"/>
      <c r="BA73" s="2"/>
      <c r="BB73" s="2"/>
      <c r="BC73" s="2"/>
      <c r="BD73" s="2"/>
      <c r="BE73" s="2"/>
      <c r="BF73" s="2"/>
      <c r="BG73" s="2"/>
      <c r="BH73" s="3"/>
      <c r="BI73" s="2"/>
      <c r="BJ73" s="3"/>
      <c r="BK73" s="2"/>
      <c r="BL73" s="2"/>
      <c r="BM73" s="2"/>
      <c r="BN73" s="2"/>
      <c r="BO73" s="2"/>
      <c r="BP73" s="2"/>
      <c r="BQ73" s="2"/>
      <c r="BR73" s="3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</row>
    <row r="74" spans="1:81" ht="16" x14ac:dyDescent="0.2">
      <c r="A74" s="1" t="s">
        <v>220</v>
      </c>
      <c r="B74" s="2">
        <v>118.155079</v>
      </c>
      <c r="C74" s="2">
        <v>50.48</v>
      </c>
      <c r="D74" s="2">
        <v>1.264</v>
      </c>
      <c r="E74" s="2">
        <v>13.66</v>
      </c>
      <c r="F74" s="2">
        <v>12.43</v>
      </c>
      <c r="G74" s="2">
        <v>0.21</v>
      </c>
      <c r="H74" s="2">
        <v>7.22</v>
      </c>
      <c r="I74" s="2">
        <v>11.85</v>
      </c>
      <c r="J74" s="2">
        <v>2.1</v>
      </c>
      <c r="K74" s="2">
        <v>6.9000000000000006E-2</v>
      </c>
      <c r="L74" s="2">
        <v>8.5999999999999993E-2</v>
      </c>
      <c r="M74" s="2">
        <v>0.2</v>
      </c>
      <c r="N74" s="2">
        <v>47</v>
      </c>
      <c r="O74" s="2">
        <v>1253.5999999999999</v>
      </c>
      <c r="P74" s="2">
        <v>0.1638</v>
      </c>
      <c r="Q74" s="2"/>
      <c r="R74" s="3"/>
      <c r="S74" s="2"/>
      <c r="T74" s="2"/>
      <c r="U74" s="2"/>
      <c r="V74" s="2"/>
      <c r="W74" s="2"/>
      <c r="X74" s="2"/>
      <c r="Y74" s="2"/>
      <c r="Z74" s="2"/>
      <c r="AA74" s="3"/>
      <c r="AB74" s="3"/>
      <c r="AC74" s="2"/>
      <c r="AD74" s="2"/>
      <c r="AE74" s="2"/>
      <c r="AF74" s="3"/>
      <c r="AG74" s="2"/>
      <c r="AH74" s="2"/>
      <c r="AI74" s="2"/>
      <c r="AJ74" s="2"/>
      <c r="AK74" s="1"/>
      <c r="AL74" s="2"/>
      <c r="AM74" s="1"/>
      <c r="AN74" s="2"/>
      <c r="AO74" s="1"/>
      <c r="AP74" s="3"/>
      <c r="AQ74" s="2"/>
      <c r="AR74" s="2"/>
      <c r="AS74" s="2"/>
      <c r="AT74" s="2"/>
      <c r="AU74" s="2"/>
      <c r="AV74" s="2"/>
      <c r="AW74" s="2"/>
      <c r="AX74" s="3"/>
      <c r="AY74" s="2"/>
      <c r="AZ74" s="3"/>
      <c r="BA74" s="2"/>
      <c r="BB74" s="2"/>
      <c r="BC74" s="2"/>
      <c r="BD74" s="2"/>
      <c r="BE74" s="2"/>
      <c r="BF74" s="2"/>
      <c r="BG74" s="2"/>
      <c r="BH74" s="3"/>
      <c r="BI74" s="2"/>
      <c r="BJ74" s="3"/>
      <c r="BK74" s="2"/>
      <c r="BL74" s="2"/>
      <c r="BM74" s="2"/>
      <c r="BN74" s="2"/>
      <c r="BO74" s="2"/>
      <c r="BP74" s="2"/>
      <c r="BQ74" s="2"/>
      <c r="BR74" s="3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</row>
    <row r="75" spans="1:81" ht="16" x14ac:dyDescent="0.2">
      <c r="A75" s="1" t="s">
        <v>221</v>
      </c>
      <c r="B75" s="2">
        <v>98.548937300000006</v>
      </c>
      <c r="C75" s="2">
        <v>50.42</v>
      </c>
      <c r="D75" s="2">
        <v>1.2709999999999999</v>
      </c>
      <c r="E75" s="2">
        <v>13.51</v>
      </c>
      <c r="F75" s="2">
        <v>12.81</v>
      </c>
      <c r="G75" s="2">
        <v>0.21</v>
      </c>
      <c r="H75" s="2">
        <v>6.98</v>
      </c>
      <c r="I75" s="2">
        <v>11.79</v>
      </c>
      <c r="J75" s="2">
        <v>2.15</v>
      </c>
      <c r="K75" s="2">
        <v>0.06</v>
      </c>
      <c r="L75" s="2">
        <v>9.5000000000000001E-2</v>
      </c>
      <c r="M75" s="2">
        <v>0.2</v>
      </c>
      <c r="N75" s="2">
        <v>38</v>
      </c>
      <c r="O75" s="2">
        <v>1349.73</v>
      </c>
      <c r="P75" s="2">
        <v>0.1646</v>
      </c>
      <c r="Q75" s="2"/>
      <c r="R75" s="3"/>
      <c r="S75" s="2"/>
      <c r="T75" s="2"/>
      <c r="U75" s="2"/>
      <c r="V75" s="2"/>
      <c r="W75" s="2"/>
      <c r="X75" s="2"/>
      <c r="Y75" s="2"/>
      <c r="Z75" s="2"/>
      <c r="AA75" s="3"/>
      <c r="AB75" s="3"/>
      <c r="AC75" s="2"/>
      <c r="AD75" s="2"/>
      <c r="AE75" s="2"/>
      <c r="AF75" s="3"/>
      <c r="AG75" s="2"/>
      <c r="AH75" s="2"/>
      <c r="AI75" s="2"/>
      <c r="AJ75" s="2"/>
      <c r="AK75" s="1"/>
      <c r="AL75" s="2"/>
      <c r="AM75" s="1"/>
      <c r="AN75" s="2"/>
      <c r="AO75" s="1"/>
      <c r="AP75" s="3"/>
      <c r="AQ75" s="2"/>
      <c r="AR75" s="2"/>
      <c r="AS75" s="2"/>
      <c r="AT75" s="2"/>
      <c r="AU75" s="2"/>
      <c r="AV75" s="2"/>
      <c r="AW75" s="2"/>
      <c r="AX75" s="3"/>
      <c r="AY75" s="2"/>
      <c r="AZ75" s="3"/>
      <c r="BA75" s="2"/>
      <c r="BB75" s="2"/>
      <c r="BC75" s="2"/>
      <c r="BD75" s="2"/>
      <c r="BE75" s="2"/>
      <c r="BF75" s="2"/>
      <c r="BG75" s="2"/>
      <c r="BH75" s="3"/>
      <c r="BI75" s="2"/>
      <c r="BJ75" s="3"/>
      <c r="BK75" s="2"/>
      <c r="BL75" s="2"/>
      <c r="BM75" s="2"/>
      <c r="BN75" s="2"/>
      <c r="BO75" s="2"/>
      <c r="BP75" s="2"/>
      <c r="BQ75" s="2"/>
      <c r="BR75" s="3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</row>
    <row r="76" spans="1:81" ht="16" x14ac:dyDescent="0.2">
      <c r="A76" s="1" t="s">
        <v>222</v>
      </c>
      <c r="B76" s="2">
        <v>147.97865200000001</v>
      </c>
      <c r="C76" s="2">
        <v>50.69</v>
      </c>
      <c r="D76" s="2">
        <v>1.1100000000000001</v>
      </c>
      <c r="E76" s="2">
        <v>13.62</v>
      </c>
      <c r="F76" s="2">
        <v>11.94</v>
      </c>
      <c r="G76" s="2">
        <v>0.21</v>
      </c>
      <c r="H76" s="2">
        <v>7.46</v>
      </c>
      <c r="I76" s="2">
        <v>12.08</v>
      </c>
      <c r="J76" s="2">
        <v>2.08</v>
      </c>
      <c r="K76" s="2">
        <v>5.5E-2</v>
      </c>
      <c r="L76" s="2">
        <v>7.1999999999999995E-2</v>
      </c>
      <c r="M76" s="2">
        <v>0.15</v>
      </c>
      <c r="N76" s="2">
        <v>62</v>
      </c>
      <c r="O76" s="2">
        <v>1185.52</v>
      </c>
      <c r="P76" s="2">
        <v>0.16039999999999999</v>
      </c>
      <c r="Q76" s="2"/>
      <c r="R76" s="3"/>
      <c r="S76" s="2"/>
      <c r="T76" s="2"/>
      <c r="U76" s="2"/>
      <c r="V76" s="2"/>
      <c r="W76" s="2"/>
      <c r="X76" s="2"/>
      <c r="Y76" s="2"/>
      <c r="Z76" s="2"/>
      <c r="AA76" s="3"/>
      <c r="AB76" s="3"/>
      <c r="AC76" s="2"/>
      <c r="AD76" s="2"/>
      <c r="AE76" s="2"/>
      <c r="AF76" s="3"/>
      <c r="AG76" s="2"/>
      <c r="AH76" s="2"/>
      <c r="AI76" s="2"/>
      <c r="AJ76" s="2"/>
      <c r="AK76" s="1"/>
      <c r="AL76" s="2"/>
      <c r="AM76" s="1"/>
      <c r="AN76" s="2"/>
      <c r="AO76" s="1"/>
      <c r="AP76" s="3"/>
      <c r="AQ76" s="2"/>
      <c r="AR76" s="2"/>
      <c r="AS76" s="2"/>
      <c r="AT76" s="2"/>
      <c r="AU76" s="2"/>
      <c r="AV76" s="2"/>
      <c r="AW76" s="2"/>
      <c r="AX76" s="3"/>
      <c r="AY76" s="2"/>
      <c r="AZ76" s="3"/>
      <c r="BA76" s="2"/>
      <c r="BB76" s="2"/>
      <c r="BC76" s="2"/>
      <c r="BD76" s="2"/>
      <c r="BE76" s="2"/>
      <c r="BF76" s="2"/>
      <c r="BG76" s="2"/>
      <c r="BH76" s="3"/>
      <c r="BI76" s="2"/>
      <c r="BJ76" s="3"/>
      <c r="BK76" s="2"/>
      <c r="BL76" s="2"/>
      <c r="BM76" s="2"/>
      <c r="BN76" s="2"/>
      <c r="BO76" s="2"/>
      <c r="BP76" s="2"/>
      <c r="BQ76" s="2"/>
      <c r="BR76" s="3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</row>
    <row r="77" spans="1:81" ht="16" x14ac:dyDescent="0.2">
      <c r="A77" s="1" t="s">
        <v>223</v>
      </c>
      <c r="B77" s="2">
        <v>63.932159300000002</v>
      </c>
      <c r="C77" s="2">
        <v>50.44</v>
      </c>
      <c r="D77" s="2">
        <v>1.274</v>
      </c>
      <c r="E77" s="2">
        <v>13.49</v>
      </c>
      <c r="F77" s="2">
        <v>12.59</v>
      </c>
      <c r="G77" s="2">
        <v>0.22</v>
      </c>
      <c r="H77" s="2">
        <v>7.1</v>
      </c>
      <c r="I77" s="2">
        <v>11.81</v>
      </c>
      <c r="J77" s="2">
        <v>2.1800000000000002</v>
      </c>
      <c r="K77" s="2">
        <v>6.9000000000000006E-2</v>
      </c>
      <c r="L77" s="2">
        <v>8.1000000000000003E-2</v>
      </c>
      <c r="M77" s="2">
        <v>0.18</v>
      </c>
      <c r="N77" s="2">
        <v>23</v>
      </c>
      <c r="O77" s="2">
        <v>1329.7</v>
      </c>
      <c r="P77" s="2">
        <v>0.1643</v>
      </c>
      <c r="Q77" s="2"/>
      <c r="R77" s="3"/>
      <c r="S77" s="2"/>
      <c r="T77" s="2"/>
      <c r="U77" s="2"/>
      <c r="V77" s="2"/>
      <c r="W77" s="2"/>
      <c r="X77" s="2"/>
      <c r="Y77" s="2"/>
      <c r="Z77" s="2"/>
      <c r="AA77" s="3"/>
      <c r="AB77" s="3"/>
      <c r="AC77" s="2"/>
      <c r="AD77" s="2"/>
      <c r="AE77" s="2"/>
      <c r="AF77" s="3"/>
      <c r="AG77" s="2"/>
      <c r="AH77" s="2"/>
      <c r="AI77" s="2"/>
      <c r="AJ77" s="2"/>
      <c r="AK77" s="1"/>
      <c r="AL77" s="2"/>
      <c r="AM77" s="1"/>
      <c r="AN77" s="2"/>
      <c r="AO77" s="1"/>
      <c r="AP77" s="3"/>
      <c r="AQ77" s="2"/>
      <c r="AR77" s="2"/>
      <c r="AS77" s="2"/>
      <c r="AT77" s="2"/>
      <c r="AU77" s="2"/>
      <c r="AV77" s="2"/>
      <c r="AW77" s="2"/>
      <c r="AX77" s="3"/>
      <c r="AY77" s="2"/>
      <c r="AZ77" s="3"/>
      <c r="BA77" s="2"/>
      <c r="BB77" s="2"/>
      <c r="BC77" s="2"/>
      <c r="BD77" s="2"/>
      <c r="BE77" s="2"/>
      <c r="BF77" s="2"/>
      <c r="BG77" s="2"/>
      <c r="BH77" s="3"/>
      <c r="BI77" s="2"/>
      <c r="BJ77" s="3"/>
      <c r="BK77" s="2"/>
      <c r="BL77" s="2"/>
      <c r="BM77" s="2"/>
      <c r="BN77" s="2"/>
      <c r="BO77" s="2"/>
      <c r="BP77" s="2"/>
      <c r="BQ77" s="2"/>
      <c r="BR77" s="3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</row>
    <row r="78" spans="1:81" ht="16" x14ac:dyDescent="0.2">
      <c r="A78" s="1" t="s">
        <v>224</v>
      </c>
      <c r="B78" s="2">
        <v>101.53518200000001</v>
      </c>
      <c r="C78" s="2">
        <v>50.52</v>
      </c>
      <c r="D78" s="2">
        <v>1.278</v>
      </c>
      <c r="E78" s="2">
        <v>13.24</v>
      </c>
      <c r="F78" s="2">
        <v>13.19</v>
      </c>
      <c r="G78" s="2">
        <v>0.23</v>
      </c>
      <c r="H78" s="2">
        <v>6.9</v>
      </c>
      <c r="I78" s="2">
        <v>11.33</v>
      </c>
      <c r="J78" s="2">
        <v>2.15</v>
      </c>
      <c r="K78" s="2">
        <v>6.3E-2</v>
      </c>
      <c r="L78" s="2">
        <v>8.4000000000000005E-2</v>
      </c>
      <c r="M78" s="2">
        <v>0.15</v>
      </c>
      <c r="N78" s="2">
        <v>40</v>
      </c>
      <c r="O78" s="2">
        <v>1377.76</v>
      </c>
      <c r="P78" s="2">
        <v>0.16339999999999999</v>
      </c>
      <c r="Q78" s="2"/>
      <c r="R78" s="3"/>
      <c r="S78" s="2"/>
      <c r="T78" s="2"/>
      <c r="U78" s="2"/>
      <c r="V78" s="2"/>
      <c r="W78" s="2"/>
      <c r="X78" s="2"/>
      <c r="Y78" s="2"/>
      <c r="Z78" s="2"/>
      <c r="AA78" s="3"/>
      <c r="AB78" s="3"/>
      <c r="AC78" s="2"/>
      <c r="AD78" s="2"/>
      <c r="AE78" s="2"/>
      <c r="AF78" s="3"/>
      <c r="AG78" s="2"/>
      <c r="AH78" s="2"/>
      <c r="AI78" s="2"/>
      <c r="AJ78" s="2"/>
      <c r="AK78" s="1"/>
      <c r="AL78" s="2"/>
      <c r="AM78" s="1"/>
      <c r="AN78" s="2"/>
      <c r="AO78" s="1"/>
      <c r="AP78" s="3"/>
      <c r="AQ78" s="2"/>
      <c r="AR78" s="2"/>
      <c r="AS78" s="2"/>
      <c r="AT78" s="2"/>
      <c r="AU78" s="2"/>
      <c r="AV78" s="2"/>
      <c r="AW78" s="2"/>
      <c r="AX78" s="3"/>
      <c r="AY78" s="2"/>
      <c r="AZ78" s="3"/>
      <c r="BA78" s="2"/>
      <c r="BB78" s="2"/>
      <c r="BC78" s="2"/>
      <c r="BD78" s="2"/>
      <c r="BE78" s="2"/>
      <c r="BF78" s="2"/>
      <c r="BG78" s="2"/>
      <c r="BH78" s="3"/>
      <c r="BI78" s="2"/>
      <c r="BJ78" s="3"/>
      <c r="BK78" s="2"/>
      <c r="BL78" s="2"/>
      <c r="BM78" s="2"/>
      <c r="BN78" s="2"/>
      <c r="BO78" s="2"/>
      <c r="BP78" s="2"/>
      <c r="BQ78" s="2"/>
      <c r="BR78" s="3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</row>
    <row r="79" spans="1:81" ht="16" x14ac:dyDescent="0.2">
      <c r="A79" s="1" t="s">
        <v>225</v>
      </c>
      <c r="B79" s="2">
        <v>59.277160199999997</v>
      </c>
      <c r="C79" s="2">
        <v>50.24</v>
      </c>
      <c r="D79" s="2">
        <v>1.0209999999999999</v>
      </c>
      <c r="E79" s="2">
        <v>14</v>
      </c>
      <c r="F79" s="2">
        <v>11.19</v>
      </c>
      <c r="G79" s="2">
        <v>0.2</v>
      </c>
      <c r="H79" s="2">
        <v>7.97</v>
      </c>
      <c r="I79" s="2">
        <v>12.62</v>
      </c>
      <c r="J79" s="2">
        <v>1.87</v>
      </c>
      <c r="K79" s="2">
        <v>6.0999999999999999E-2</v>
      </c>
      <c r="L79" s="2">
        <v>6.8000000000000005E-2</v>
      </c>
      <c r="M79" s="2">
        <v>0.15</v>
      </c>
      <c r="N79" s="2">
        <v>23</v>
      </c>
      <c r="O79" s="2">
        <v>1109.42</v>
      </c>
      <c r="P79" s="2">
        <v>0.15479999999999999</v>
      </c>
      <c r="Q79" s="2"/>
      <c r="R79" s="3"/>
      <c r="S79" s="2"/>
      <c r="T79" s="2"/>
      <c r="U79" s="2"/>
      <c r="V79" s="2"/>
      <c r="W79" s="2"/>
      <c r="X79" s="2"/>
      <c r="Y79" s="2"/>
      <c r="Z79" s="2"/>
      <c r="AA79" s="3"/>
      <c r="AB79" s="3"/>
      <c r="AC79" s="2"/>
      <c r="AD79" s="2"/>
      <c r="AE79" s="2"/>
      <c r="AF79" s="3"/>
      <c r="AG79" s="2"/>
      <c r="AH79" s="2"/>
      <c r="AI79" s="2"/>
      <c r="AJ79" s="2"/>
      <c r="AK79" s="1"/>
      <c r="AL79" s="2"/>
      <c r="AM79" s="1"/>
      <c r="AN79" s="2"/>
      <c r="AO79" s="1"/>
      <c r="AP79" s="3"/>
      <c r="AQ79" s="2"/>
      <c r="AR79" s="2"/>
      <c r="AS79" s="2"/>
      <c r="AT79" s="2"/>
      <c r="AU79" s="2"/>
      <c r="AV79" s="2"/>
      <c r="AW79" s="2"/>
      <c r="AX79" s="3"/>
      <c r="AY79" s="2"/>
      <c r="AZ79" s="3"/>
      <c r="BA79" s="2"/>
      <c r="BB79" s="2"/>
      <c r="BC79" s="2"/>
      <c r="BD79" s="2"/>
      <c r="BE79" s="2"/>
      <c r="BF79" s="2"/>
      <c r="BG79" s="2"/>
      <c r="BH79" s="3"/>
      <c r="BI79" s="2"/>
      <c r="BJ79" s="3"/>
      <c r="BK79" s="2"/>
      <c r="BL79" s="2"/>
      <c r="BM79" s="2"/>
      <c r="BN79" s="2"/>
      <c r="BO79" s="2"/>
      <c r="BP79" s="2"/>
      <c r="BQ79" s="2"/>
      <c r="BR79" s="3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</row>
    <row r="80" spans="1:81" ht="16" x14ac:dyDescent="0.2">
      <c r="A80" s="1" t="s">
        <v>226</v>
      </c>
      <c r="B80" s="2">
        <v>59.416225699999998</v>
      </c>
      <c r="C80" s="2">
        <v>49.68</v>
      </c>
      <c r="D80" s="2">
        <v>1.1890000000000001</v>
      </c>
      <c r="E80" s="2">
        <v>13.63</v>
      </c>
      <c r="F80" s="2">
        <v>12.39</v>
      </c>
      <c r="G80" s="2">
        <v>0.2</v>
      </c>
      <c r="H80" s="2">
        <v>7.45</v>
      </c>
      <c r="I80" s="2">
        <v>12.07</v>
      </c>
      <c r="J80" s="2">
        <v>2.02</v>
      </c>
      <c r="K80" s="2">
        <v>4.8000000000000001E-2</v>
      </c>
      <c r="L80" s="2">
        <v>6.0999999999999999E-2</v>
      </c>
      <c r="M80" s="2">
        <v>0.18</v>
      </c>
      <c r="N80" s="2">
        <v>22</v>
      </c>
      <c r="O80" s="2">
        <v>1197.53</v>
      </c>
      <c r="P80" s="2">
        <v>0.16070000000000001</v>
      </c>
      <c r="Q80" s="2"/>
      <c r="R80" s="3"/>
      <c r="S80" s="2"/>
      <c r="T80" s="2"/>
      <c r="U80" s="2"/>
      <c r="V80" s="2"/>
      <c r="W80" s="2"/>
      <c r="X80" s="2"/>
      <c r="Y80" s="2"/>
      <c r="Z80" s="2"/>
      <c r="AA80" s="3"/>
      <c r="AB80" s="3"/>
      <c r="AC80" s="2"/>
      <c r="AD80" s="2"/>
      <c r="AE80" s="2"/>
      <c r="AF80" s="3"/>
      <c r="AG80" s="2"/>
      <c r="AH80" s="2"/>
      <c r="AI80" s="2"/>
      <c r="AJ80" s="2"/>
      <c r="AK80" s="1"/>
      <c r="AL80" s="2"/>
      <c r="AM80" s="1"/>
      <c r="AN80" s="2"/>
      <c r="AO80" s="1"/>
      <c r="AP80" s="3"/>
      <c r="AQ80" s="2"/>
      <c r="AR80" s="2"/>
      <c r="AS80" s="2"/>
      <c r="AT80" s="2"/>
      <c r="AU80" s="2"/>
      <c r="AV80" s="2"/>
      <c r="AW80" s="2"/>
      <c r="AX80" s="3"/>
      <c r="AY80" s="2"/>
      <c r="AZ80" s="3"/>
      <c r="BA80" s="2"/>
      <c r="BB80" s="2"/>
      <c r="BC80" s="2"/>
      <c r="BD80" s="2"/>
      <c r="BE80" s="2"/>
      <c r="BF80" s="2"/>
      <c r="BG80" s="2"/>
      <c r="BH80" s="3"/>
      <c r="BI80" s="2"/>
      <c r="BJ80" s="3"/>
      <c r="BK80" s="2"/>
      <c r="BL80" s="2"/>
      <c r="BM80" s="2"/>
      <c r="BN80" s="2"/>
      <c r="BO80" s="2"/>
      <c r="BP80" s="2"/>
      <c r="BQ80" s="2"/>
      <c r="BR80" s="3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</row>
    <row r="81" spans="1:81" ht="16" x14ac:dyDescent="0.2">
      <c r="A81" s="1" t="s">
        <v>227</v>
      </c>
      <c r="B81" s="2">
        <v>79.393951200000004</v>
      </c>
      <c r="C81" s="2">
        <v>50.54</v>
      </c>
      <c r="D81" s="2">
        <v>1.0980000000000001</v>
      </c>
      <c r="E81" s="2">
        <v>13.59</v>
      </c>
      <c r="F81" s="2">
        <v>12.03</v>
      </c>
      <c r="G81" s="2">
        <v>0.22</v>
      </c>
      <c r="H81" s="2">
        <v>7.54</v>
      </c>
      <c r="I81" s="2">
        <v>12.26</v>
      </c>
      <c r="J81" s="2">
        <v>1.87</v>
      </c>
      <c r="K81" s="2">
        <v>6.8000000000000005E-2</v>
      </c>
      <c r="L81" s="2">
        <v>6.5000000000000002E-2</v>
      </c>
      <c r="M81" s="2">
        <v>0.19</v>
      </c>
      <c r="N81" s="2">
        <v>31</v>
      </c>
      <c r="O81" s="2">
        <v>1085.3900000000001</v>
      </c>
      <c r="P81" s="2">
        <v>0.15959999999999999</v>
      </c>
      <c r="Q81" s="2"/>
      <c r="R81" s="3"/>
      <c r="S81" s="2"/>
      <c r="T81" s="2"/>
      <c r="U81" s="2"/>
      <c r="V81" s="2"/>
      <c r="W81" s="2"/>
      <c r="X81" s="2"/>
      <c r="Y81" s="2"/>
      <c r="Z81" s="2"/>
      <c r="AA81" s="3"/>
      <c r="AB81" s="3"/>
      <c r="AC81" s="2"/>
      <c r="AD81" s="2"/>
      <c r="AE81" s="2"/>
      <c r="AF81" s="3"/>
      <c r="AG81" s="2"/>
      <c r="AH81" s="2"/>
      <c r="AI81" s="2"/>
      <c r="AJ81" s="2"/>
      <c r="AK81" s="1"/>
      <c r="AL81" s="2"/>
      <c r="AM81" s="1"/>
      <c r="AN81" s="2"/>
      <c r="AO81" s="1"/>
      <c r="AP81" s="3"/>
      <c r="AQ81" s="2"/>
      <c r="AR81" s="2"/>
      <c r="AS81" s="2"/>
      <c r="AT81" s="2"/>
      <c r="AU81" s="2"/>
      <c r="AV81" s="2"/>
      <c r="AW81" s="2"/>
      <c r="AX81" s="3"/>
      <c r="AY81" s="2"/>
      <c r="AZ81" s="3"/>
      <c r="BA81" s="2"/>
      <c r="BB81" s="2"/>
      <c r="BC81" s="2"/>
      <c r="BD81" s="2"/>
      <c r="BE81" s="2"/>
      <c r="BF81" s="2"/>
      <c r="BG81" s="2"/>
      <c r="BH81" s="3"/>
      <c r="BI81" s="2"/>
      <c r="BJ81" s="3"/>
      <c r="BK81" s="2"/>
      <c r="BL81" s="2"/>
      <c r="BM81" s="2"/>
      <c r="BN81" s="2"/>
      <c r="BO81" s="2"/>
      <c r="BP81" s="2"/>
      <c r="BQ81" s="2"/>
      <c r="BR81" s="3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</row>
    <row r="82" spans="1:81" ht="16" x14ac:dyDescent="0.2">
      <c r="A82" s="1" t="s">
        <v>228</v>
      </c>
      <c r="B82" s="2">
        <v>67.069256999999993</v>
      </c>
      <c r="C82" s="2">
        <v>49.43</v>
      </c>
      <c r="D82" s="2">
        <v>1.0109999999999999</v>
      </c>
      <c r="E82" s="2">
        <v>14.24</v>
      </c>
      <c r="F82" s="2">
        <v>11.77</v>
      </c>
      <c r="G82" s="2">
        <v>0.2</v>
      </c>
      <c r="H82" s="2">
        <v>8.7200000000000006</v>
      </c>
      <c r="I82" s="2">
        <v>11.81</v>
      </c>
      <c r="J82" s="2">
        <v>1.88</v>
      </c>
      <c r="K82" s="2">
        <v>6.9000000000000006E-2</v>
      </c>
      <c r="L82" s="2">
        <v>6.6000000000000003E-2</v>
      </c>
      <c r="M82" s="2">
        <v>0.19</v>
      </c>
      <c r="N82" s="2">
        <v>26</v>
      </c>
      <c r="O82" s="2">
        <v>961.23</v>
      </c>
      <c r="P82" s="2">
        <v>0.15359999999999999</v>
      </c>
      <c r="Q82" s="2"/>
      <c r="R82" s="3"/>
      <c r="S82" s="2"/>
      <c r="T82" s="2"/>
      <c r="U82" s="2"/>
      <c r="V82" s="2"/>
      <c r="W82" s="2"/>
      <c r="X82" s="2"/>
      <c r="Y82" s="2"/>
      <c r="Z82" s="2"/>
      <c r="AA82" s="3"/>
      <c r="AB82" s="3"/>
      <c r="AC82" s="2"/>
      <c r="AD82" s="2"/>
      <c r="AE82" s="2"/>
      <c r="AF82" s="3"/>
      <c r="AG82" s="2"/>
      <c r="AH82" s="2"/>
      <c r="AI82" s="2"/>
      <c r="AJ82" s="2"/>
      <c r="AK82" s="1"/>
      <c r="AL82" s="2"/>
      <c r="AM82" s="1"/>
      <c r="AN82" s="2"/>
      <c r="AO82" s="1"/>
      <c r="AP82" s="3"/>
      <c r="AQ82" s="2"/>
      <c r="AR82" s="2"/>
      <c r="AS82" s="2"/>
      <c r="AT82" s="2"/>
      <c r="AU82" s="2"/>
      <c r="AV82" s="2"/>
      <c r="AW82" s="2"/>
      <c r="AX82" s="3"/>
      <c r="AY82" s="2"/>
      <c r="AZ82" s="3"/>
      <c r="BA82" s="2"/>
      <c r="BB82" s="2"/>
      <c r="BC82" s="2"/>
      <c r="BD82" s="2"/>
      <c r="BE82" s="2"/>
      <c r="BF82" s="2"/>
      <c r="BG82" s="2"/>
      <c r="BH82" s="3"/>
      <c r="BI82" s="2"/>
      <c r="BJ82" s="3"/>
      <c r="BK82" s="2"/>
      <c r="BL82" s="2"/>
      <c r="BM82" s="2"/>
      <c r="BN82" s="2"/>
      <c r="BO82" s="2"/>
      <c r="BP82" s="2"/>
      <c r="BQ82" s="2"/>
      <c r="BR82" s="3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</row>
    <row r="83" spans="1:81" ht="16" x14ac:dyDescent="0.2">
      <c r="A83" s="1" t="s">
        <v>229</v>
      </c>
      <c r="B83" s="2">
        <v>59.503790899999998</v>
      </c>
      <c r="C83" s="2">
        <v>49.91</v>
      </c>
      <c r="D83" s="2">
        <v>1.028</v>
      </c>
      <c r="E83" s="2">
        <v>14.29</v>
      </c>
      <c r="F83" s="2">
        <v>11.5</v>
      </c>
      <c r="G83" s="2">
        <v>0.19</v>
      </c>
      <c r="H83" s="2">
        <v>8.73</v>
      </c>
      <c r="I83" s="2">
        <v>11.94</v>
      </c>
      <c r="J83" s="2">
        <v>1.87</v>
      </c>
      <c r="K83" s="2">
        <v>6.8000000000000005E-2</v>
      </c>
      <c r="L83" s="2">
        <v>6.6000000000000003E-2</v>
      </c>
      <c r="M83" s="2">
        <v>0.19</v>
      </c>
      <c r="N83" s="2">
        <v>22</v>
      </c>
      <c r="O83" s="2">
        <v>1069.3699999999999</v>
      </c>
      <c r="P83" s="2">
        <v>0.15509999999999999</v>
      </c>
      <c r="Q83" s="2"/>
      <c r="R83" s="3"/>
      <c r="S83" s="2"/>
      <c r="T83" s="2"/>
      <c r="U83" s="2"/>
      <c r="V83" s="2"/>
      <c r="W83" s="2"/>
      <c r="X83" s="2"/>
      <c r="Y83" s="2"/>
      <c r="Z83" s="2"/>
      <c r="AA83" s="3"/>
      <c r="AB83" s="3"/>
      <c r="AC83" s="2"/>
      <c r="AD83" s="2"/>
      <c r="AE83" s="2"/>
      <c r="AF83" s="3"/>
      <c r="AG83" s="2"/>
      <c r="AH83" s="2"/>
      <c r="AI83" s="2"/>
      <c r="AJ83" s="2"/>
      <c r="AK83" s="1"/>
      <c r="AL83" s="2"/>
      <c r="AM83" s="1"/>
      <c r="AN83" s="2"/>
      <c r="AO83" s="1"/>
      <c r="AP83" s="3"/>
      <c r="AQ83" s="2"/>
      <c r="AR83" s="2"/>
      <c r="AS83" s="2"/>
      <c r="AT83" s="2"/>
      <c r="AU83" s="2"/>
      <c r="AV83" s="2"/>
      <c r="AW83" s="2"/>
      <c r="AX83" s="3"/>
      <c r="AY83" s="2"/>
      <c r="AZ83" s="3"/>
      <c r="BA83" s="2"/>
      <c r="BB83" s="2"/>
      <c r="BC83" s="2"/>
      <c r="BD83" s="2"/>
      <c r="BE83" s="2"/>
      <c r="BF83" s="2"/>
      <c r="BG83" s="2"/>
      <c r="BH83" s="3"/>
      <c r="BI83" s="2"/>
      <c r="BJ83" s="3"/>
      <c r="BK83" s="2"/>
      <c r="BL83" s="2"/>
      <c r="BM83" s="2"/>
      <c r="BN83" s="2"/>
      <c r="BO83" s="2"/>
      <c r="BP83" s="2"/>
      <c r="BQ83" s="2"/>
      <c r="BR83" s="3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</row>
    <row r="84" spans="1:81" ht="16" x14ac:dyDescent="0.2">
      <c r="A84" s="1" t="s">
        <v>230</v>
      </c>
      <c r="B84" s="2">
        <v>57.217879500000002</v>
      </c>
      <c r="C84" s="2">
        <v>49.63</v>
      </c>
      <c r="D84" s="2">
        <v>1.105</v>
      </c>
      <c r="E84" s="2">
        <v>14.66</v>
      </c>
      <c r="F84" s="2">
        <v>11.2</v>
      </c>
      <c r="G84" s="2">
        <v>0.18</v>
      </c>
      <c r="H84" s="2">
        <v>8.5</v>
      </c>
      <c r="I84" s="2">
        <v>12.15</v>
      </c>
      <c r="J84" s="2">
        <v>1.92</v>
      </c>
      <c r="K84" s="2">
        <v>0.10299999999999999</v>
      </c>
      <c r="L84" s="2">
        <v>6.5000000000000002E-2</v>
      </c>
      <c r="M84" s="2">
        <v>0.24</v>
      </c>
      <c r="N84" s="2">
        <v>20</v>
      </c>
      <c r="O84" s="2">
        <v>897.15</v>
      </c>
      <c r="P84" s="2">
        <v>0.16020000000000001</v>
      </c>
      <c r="Q84" s="2"/>
      <c r="R84" s="3"/>
      <c r="S84" s="2"/>
      <c r="T84" s="2"/>
      <c r="U84" s="2"/>
      <c r="V84" s="2"/>
      <c r="W84" s="2"/>
      <c r="X84" s="2"/>
      <c r="Y84" s="2"/>
      <c r="Z84" s="2"/>
      <c r="AA84" s="2"/>
      <c r="AB84" s="3"/>
      <c r="AC84" s="2"/>
      <c r="AD84" s="2"/>
      <c r="AE84" s="2"/>
      <c r="AF84" s="3"/>
      <c r="AG84" s="2"/>
      <c r="AH84" s="2"/>
      <c r="AI84" s="2"/>
      <c r="AJ84" s="2"/>
      <c r="AK84" s="1"/>
      <c r="AL84" s="2"/>
      <c r="AM84" s="1"/>
      <c r="AN84" s="2"/>
      <c r="AO84" s="1"/>
      <c r="AP84" s="3"/>
      <c r="AQ84" s="2"/>
      <c r="AR84" s="2"/>
      <c r="AS84" s="2"/>
      <c r="AT84" s="2"/>
      <c r="AU84" s="2"/>
      <c r="AV84" s="2"/>
      <c r="AW84" s="2"/>
      <c r="AX84" s="3"/>
      <c r="AY84" s="2"/>
      <c r="AZ84" s="3"/>
      <c r="BA84" s="2"/>
      <c r="BB84" s="2"/>
      <c r="BC84" s="2"/>
      <c r="BD84" s="2"/>
      <c r="BE84" s="2"/>
      <c r="BF84" s="2"/>
      <c r="BG84" s="2"/>
      <c r="BH84" s="3"/>
      <c r="BI84" s="2"/>
      <c r="BJ84" s="3"/>
      <c r="BK84" s="2"/>
      <c r="BL84" s="2"/>
      <c r="BM84" s="2"/>
      <c r="BN84" s="2"/>
      <c r="BO84" s="2"/>
      <c r="BP84" s="2"/>
      <c r="BQ84" s="2"/>
      <c r="BR84" s="3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</row>
    <row r="85" spans="1:81" ht="16" x14ac:dyDescent="0.2">
      <c r="A85" s="1" t="s">
        <v>231</v>
      </c>
      <c r="B85" s="2">
        <v>78.424560499999998</v>
      </c>
      <c r="C85" s="2">
        <v>50.33</v>
      </c>
      <c r="D85" s="2">
        <v>1.44</v>
      </c>
      <c r="E85" s="2">
        <v>13.62</v>
      </c>
      <c r="F85" s="2">
        <v>12.79</v>
      </c>
      <c r="G85" s="2">
        <v>0.2</v>
      </c>
      <c r="H85" s="2">
        <v>6.86</v>
      </c>
      <c r="I85" s="2">
        <v>11.45</v>
      </c>
      <c r="J85" s="2">
        <v>2.04</v>
      </c>
      <c r="K85" s="2">
        <v>0.13100000000000001</v>
      </c>
      <c r="L85" s="2">
        <v>0.13300000000000001</v>
      </c>
      <c r="M85" s="2">
        <v>0.3</v>
      </c>
      <c r="N85" s="2">
        <v>25</v>
      </c>
      <c r="O85" s="2">
        <v>1209.55</v>
      </c>
      <c r="P85" s="2">
        <v>0.17150000000000001</v>
      </c>
      <c r="Q85" s="2"/>
      <c r="R85" s="3"/>
      <c r="S85" s="2"/>
      <c r="T85" s="2"/>
      <c r="U85" s="2"/>
      <c r="V85" s="2"/>
      <c r="W85" s="2"/>
      <c r="X85" s="2"/>
      <c r="Y85" s="2"/>
      <c r="Z85" s="2"/>
      <c r="AA85" s="2"/>
      <c r="AB85" s="3"/>
      <c r="AC85" s="2"/>
      <c r="AD85" s="2"/>
      <c r="AE85" s="2"/>
      <c r="AF85" s="3"/>
      <c r="AG85" s="2"/>
      <c r="AH85" s="2"/>
      <c r="AI85" s="2"/>
      <c r="AJ85" s="2"/>
      <c r="AK85" s="1"/>
      <c r="AL85" s="2"/>
      <c r="AM85" s="1"/>
      <c r="AN85" s="2"/>
      <c r="AO85" s="1"/>
      <c r="AP85" s="3"/>
      <c r="AQ85" s="2"/>
      <c r="AR85" s="2"/>
      <c r="AS85" s="2"/>
      <c r="AT85" s="2"/>
      <c r="AU85" s="2"/>
      <c r="AV85" s="2"/>
      <c r="AW85" s="2"/>
      <c r="AX85" s="3"/>
      <c r="AY85" s="2"/>
      <c r="AZ85" s="3"/>
      <c r="BA85" s="2"/>
      <c r="BB85" s="2"/>
      <c r="BC85" s="2"/>
      <c r="BD85" s="2"/>
      <c r="BE85" s="2"/>
      <c r="BF85" s="2"/>
      <c r="BG85" s="2"/>
      <c r="BH85" s="3"/>
      <c r="BI85" s="2"/>
      <c r="BJ85" s="3"/>
      <c r="BK85" s="2"/>
      <c r="BL85" s="2"/>
      <c r="BM85" s="2"/>
      <c r="BN85" s="2"/>
      <c r="BO85" s="2"/>
      <c r="BP85" s="2"/>
      <c r="BQ85" s="2"/>
      <c r="BR85" s="3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</row>
    <row r="86" spans="1:81" ht="16" x14ac:dyDescent="0.2">
      <c r="A86" s="1" t="s">
        <v>232</v>
      </c>
      <c r="B86" s="2">
        <v>71.032557199999999</v>
      </c>
      <c r="C86" s="2">
        <v>50.5</v>
      </c>
      <c r="D86" s="2">
        <v>1.462</v>
      </c>
      <c r="E86" s="2">
        <v>13.35</v>
      </c>
      <c r="F86" s="2">
        <v>13.02</v>
      </c>
      <c r="G86" s="2">
        <v>0.23</v>
      </c>
      <c r="H86" s="2">
        <v>6.75</v>
      </c>
      <c r="I86" s="2">
        <v>11.42</v>
      </c>
      <c r="J86" s="2">
        <v>2.0499999999999998</v>
      </c>
      <c r="K86" s="2">
        <v>0.14499999999999999</v>
      </c>
      <c r="L86" s="2">
        <v>0.129</v>
      </c>
      <c r="M86" s="2">
        <v>0.32</v>
      </c>
      <c r="N86" s="2">
        <v>20</v>
      </c>
      <c r="O86" s="2">
        <v>1301.6600000000001</v>
      </c>
      <c r="P86" s="2">
        <v>0.17469999999999999</v>
      </c>
      <c r="Q86" s="2"/>
      <c r="R86" s="3"/>
      <c r="S86" s="2"/>
      <c r="T86" s="2"/>
      <c r="U86" s="2"/>
      <c r="V86" s="2"/>
      <c r="W86" s="2"/>
      <c r="X86" s="2"/>
      <c r="Y86" s="2"/>
      <c r="Z86" s="2"/>
      <c r="AA86" s="2"/>
      <c r="AB86" s="3"/>
      <c r="AC86" s="2"/>
      <c r="AD86" s="2"/>
      <c r="AE86" s="2"/>
      <c r="AF86" s="3"/>
      <c r="AG86" s="2"/>
      <c r="AH86" s="2"/>
      <c r="AI86" s="2"/>
      <c r="AJ86" s="2"/>
      <c r="AK86" s="1"/>
      <c r="AL86" s="2"/>
      <c r="AM86" s="1"/>
      <c r="AN86" s="2"/>
      <c r="AO86" s="1"/>
      <c r="AP86" s="3"/>
      <c r="AQ86" s="2"/>
      <c r="AR86" s="2"/>
      <c r="AS86" s="2"/>
      <c r="AT86" s="2"/>
      <c r="AU86" s="2"/>
      <c r="AV86" s="2"/>
      <c r="AW86" s="2"/>
      <c r="AX86" s="3"/>
      <c r="AY86" s="2"/>
      <c r="AZ86" s="3"/>
      <c r="BA86" s="2"/>
      <c r="BB86" s="2"/>
      <c r="BC86" s="2"/>
      <c r="BD86" s="2"/>
      <c r="BE86" s="2"/>
      <c r="BF86" s="2"/>
      <c r="BG86" s="2"/>
      <c r="BH86" s="3"/>
      <c r="BI86" s="2"/>
      <c r="BJ86" s="3"/>
      <c r="BK86" s="2"/>
      <c r="BL86" s="2"/>
      <c r="BM86" s="2"/>
      <c r="BN86" s="2"/>
      <c r="BO86" s="2"/>
      <c r="BP86" s="2"/>
      <c r="BQ86" s="2"/>
      <c r="BR86" s="3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</row>
    <row r="87" spans="1:81" ht="16" x14ac:dyDescent="0.2">
      <c r="A87" s="1" t="s">
        <v>233</v>
      </c>
      <c r="B87" s="2">
        <v>77.297908300000003</v>
      </c>
      <c r="C87" s="2">
        <v>51.5</v>
      </c>
      <c r="D87" s="2">
        <v>1.29</v>
      </c>
      <c r="E87" s="2">
        <v>14.16</v>
      </c>
      <c r="F87" s="2">
        <v>12.2</v>
      </c>
      <c r="G87" s="2">
        <v>0</v>
      </c>
      <c r="H87" s="2">
        <v>6.91</v>
      </c>
      <c r="I87" s="2">
        <v>11.46</v>
      </c>
      <c r="J87" s="2">
        <v>2.0699999999999998</v>
      </c>
      <c r="K87" s="2">
        <v>0.1</v>
      </c>
      <c r="L87" s="2">
        <v>0.12</v>
      </c>
      <c r="M87" s="2">
        <v>0.26100000000000001</v>
      </c>
      <c r="N87" s="2">
        <v>30</v>
      </c>
      <c r="O87" s="2">
        <v>1197.47</v>
      </c>
      <c r="P87" s="2">
        <v>0.14000000000000001</v>
      </c>
      <c r="Q87" s="2"/>
      <c r="R87" s="3"/>
      <c r="S87" s="2"/>
      <c r="T87" s="2"/>
      <c r="U87" s="2"/>
      <c r="V87" s="2"/>
      <c r="W87" s="2"/>
      <c r="X87" s="2"/>
      <c r="Y87" s="2"/>
      <c r="Z87" s="2"/>
      <c r="AA87" s="2"/>
      <c r="AB87" s="3"/>
      <c r="AC87" s="2"/>
      <c r="AD87" s="2"/>
      <c r="AE87" s="2"/>
      <c r="AF87" s="3"/>
      <c r="AG87" s="2"/>
      <c r="AH87" s="2"/>
      <c r="AI87" s="2"/>
      <c r="AJ87" s="2"/>
      <c r="AK87" s="1"/>
      <c r="AL87" s="2"/>
      <c r="AM87" s="1"/>
      <c r="AN87" s="2"/>
      <c r="AO87" s="1"/>
      <c r="AP87" s="3"/>
      <c r="AQ87" s="2"/>
      <c r="AR87" s="2"/>
      <c r="AS87" s="2"/>
      <c r="AT87" s="2"/>
      <c r="AU87" s="2"/>
      <c r="AV87" s="2"/>
      <c r="AW87" s="2"/>
      <c r="AX87" s="3"/>
      <c r="AY87" s="2"/>
      <c r="AZ87" s="3"/>
      <c r="BA87" s="2"/>
      <c r="BB87" s="2"/>
      <c r="BC87" s="2"/>
      <c r="BD87" s="2"/>
      <c r="BE87" s="2"/>
      <c r="BF87" s="2"/>
      <c r="BG87" s="2"/>
      <c r="BH87" s="3"/>
      <c r="BI87" s="2"/>
      <c r="BJ87" s="3"/>
      <c r="BK87" s="2"/>
      <c r="BL87" s="2"/>
      <c r="BM87" s="2"/>
      <c r="BN87" s="2"/>
      <c r="BO87" s="2"/>
      <c r="BP87" s="2"/>
      <c r="BQ87" s="2"/>
      <c r="BR87" s="3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</row>
    <row r="88" spans="1:81" ht="16" x14ac:dyDescent="0.2">
      <c r="A88" s="1" t="s">
        <v>234</v>
      </c>
      <c r="B88" s="2">
        <v>390.95728800000001</v>
      </c>
      <c r="C88" s="2">
        <v>49.82</v>
      </c>
      <c r="D88" s="2">
        <v>1.47</v>
      </c>
      <c r="E88" s="2">
        <v>14.86</v>
      </c>
      <c r="F88" s="2">
        <v>10.1</v>
      </c>
      <c r="G88" s="2">
        <v>0.18</v>
      </c>
      <c r="H88" s="2">
        <v>7.84</v>
      </c>
      <c r="I88" s="2">
        <v>11.28</v>
      </c>
      <c r="J88" s="2">
        <v>2.74</v>
      </c>
      <c r="K88" s="2">
        <v>0.08</v>
      </c>
      <c r="L88" s="2">
        <v>0.16</v>
      </c>
      <c r="M88" s="2">
        <v>0.40799999999999997</v>
      </c>
      <c r="N88" s="2">
        <v>168</v>
      </c>
      <c r="O88" s="2">
        <v>1211.27</v>
      </c>
      <c r="P88" s="2">
        <v>0.14000000000000001</v>
      </c>
      <c r="Q88" s="2"/>
      <c r="R88" s="3"/>
      <c r="S88" s="2"/>
      <c r="T88" s="2"/>
      <c r="U88" s="2"/>
      <c r="V88" s="2"/>
      <c r="W88" s="2"/>
      <c r="X88" s="2"/>
      <c r="Y88" s="2"/>
      <c r="Z88" s="2"/>
      <c r="AA88" s="2"/>
      <c r="AB88" s="3"/>
      <c r="AC88" s="2"/>
      <c r="AD88" s="2"/>
      <c r="AE88" s="2"/>
      <c r="AF88" s="3"/>
      <c r="AG88" s="2"/>
      <c r="AH88" s="2"/>
      <c r="AI88" s="2"/>
      <c r="AJ88" s="2"/>
      <c r="AK88" s="1"/>
      <c r="AL88" s="2"/>
      <c r="AM88" s="1"/>
      <c r="AN88" s="2"/>
      <c r="AO88" s="1"/>
      <c r="AP88" s="3"/>
      <c r="AQ88" s="2"/>
      <c r="AR88" s="2"/>
      <c r="AS88" s="2"/>
      <c r="AT88" s="2"/>
      <c r="AU88" s="2"/>
      <c r="AV88" s="2"/>
      <c r="AW88" s="2"/>
      <c r="AX88" s="3"/>
      <c r="AY88" s="2"/>
      <c r="AZ88" s="3"/>
      <c r="BA88" s="2"/>
      <c r="BB88" s="2"/>
      <c r="BC88" s="2"/>
      <c r="BD88" s="2"/>
      <c r="BE88" s="2"/>
      <c r="BF88" s="2"/>
      <c r="BG88" s="2"/>
      <c r="BH88" s="3"/>
      <c r="BI88" s="2"/>
      <c r="BJ88" s="3"/>
      <c r="BK88" s="2"/>
      <c r="BL88" s="2"/>
      <c r="BM88" s="2"/>
      <c r="BN88" s="2"/>
      <c r="BO88" s="2"/>
      <c r="BP88" s="2"/>
      <c r="BQ88" s="2"/>
      <c r="BR88" s="3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</row>
    <row r="89" spans="1:81" ht="16" x14ac:dyDescent="0.2">
      <c r="A89" s="1" t="s">
        <v>235</v>
      </c>
      <c r="B89" s="2">
        <v>247.955671</v>
      </c>
      <c r="C89" s="2">
        <v>49.68</v>
      </c>
      <c r="D89" s="2">
        <v>1.5</v>
      </c>
      <c r="E89" s="2">
        <v>14.41</v>
      </c>
      <c r="F89" s="2">
        <v>10.82</v>
      </c>
      <c r="G89" s="2">
        <v>0.19</v>
      </c>
      <c r="H89" s="2">
        <v>7.95</v>
      </c>
      <c r="I89" s="2">
        <v>11.09</v>
      </c>
      <c r="J89" s="2">
        <v>2.7</v>
      </c>
      <c r="K89" s="2">
        <v>0.09</v>
      </c>
      <c r="L89" s="2">
        <v>0.13</v>
      </c>
      <c r="M89" s="2">
        <v>0.35699999999999998</v>
      </c>
      <c r="N89" s="2">
        <v>104</v>
      </c>
      <c r="O89" s="2">
        <v>1241.3</v>
      </c>
      <c r="P89" s="2">
        <v>0.14000000000000001</v>
      </c>
      <c r="Q89" s="2"/>
      <c r="R89" s="3"/>
      <c r="S89" s="2"/>
      <c r="T89" s="2"/>
      <c r="U89" s="2"/>
      <c r="V89" s="2"/>
      <c r="W89" s="2"/>
      <c r="X89" s="2"/>
      <c r="Y89" s="2"/>
      <c r="Z89" s="2"/>
      <c r="AA89" s="2"/>
      <c r="AB89" s="3"/>
      <c r="AC89" s="2"/>
      <c r="AD89" s="2"/>
      <c r="AE89" s="2"/>
      <c r="AF89" s="3"/>
      <c r="AG89" s="2"/>
      <c r="AH89" s="2"/>
      <c r="AI89" s="2"/>
      <c r="AJ89" s="2"/>
      <c r="AK89" s="1"/>
      <c r="AL89" s="2"/>
      <c r="AM89" s="1"/>
      <c r="AN89" s="2"/>
      <c r="AO89" s="1"/>
      <c r="AP89" s="3"/>
      <c r="AQ89" s="2"/>
      <c r="AR89" s="2"/>
      <c r="AS89" s="2"/>
      <c r="AT89" s="2"/>
      <c r="AU89" s="2"/>
      <c r="AV89" s="2"/>
      <c r="AW89" s="2"/>
      <c r="AX89" s="3"/>
      <c r="AY89" s="2"/>
      <c r="AZ89" s="3"/>
      <c r="BA89" s="2"/>
      <c r="BB89" s="2"/>
      <c r="BC89" s="2"/>
      <c r="BD89" s="2"/>
      <c r="BE89" s="2"/>
      <c r="BF89" s="2"/>
      <c r="BG89" s="2"/>
      <c r="BH89" s="3"/>
      <c r="BI89" s="2"/>
      <c r="BJ89" s="3"/>
      <c r="BK89" s="2"/>
      <c r="BL89" s="2"/>
      <c r="BM89" s="2"/>
      <c r="BN89" s="2"/>
      <c r="BO89" s="2"/>
      <c r="BP89" s="2"/>
      <c r="BQ89" s="2"/>
      <c r="BR89" s="3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</row>
    <row r="90" spans="1:81" ht="16" x14ac:dyDescent="0.2">
      <c r="A90" s="1" t="s">
        <v>236</v>
      </c>
      <c r="B90" s="2">
        <v>441.92316499999998</v>
      </c>
      <c r="C90" s="2">
        <v>49.62</v>
      </c>
      <c r="D90" s="2">
        <v>1.42</v>
      </c>
      <c r="E90" s="2">
        <v>15.08</v>
      </c>
      <c r="F90" s="2">
        <v>9.59</v>
      </c>
      <c r="G90" s="2">
        <v>0.15</v>
      </c>
      <c r="H90" s="2">
        <v>8.0399999999999991</v>
      </c>
      <c r="I90" s="2">
        <v>11.53</v>
      </c>
      <c r="J90" s="2">
        <v>2.73</v>
      </c>
      <c r="K90" s="2">
        <v>0.1</v>
      </c>
      <c r="L90" s="2">
        <v>0.16</v>
      </c>
      <c r="M90" s="2">
        <v>0.40300000000000002</v>
      </c>
      <c r="N90" s="2">
        <v>192</v>
      </c>
      <c r="O90" s="2">
        <v>1151.2</v>
      </c>
      <c r="P90" s="2">
        <v>0.14399999999999999</v>
      </c>
      <c r="Q90" s="2"/>
      <c r="R90" s="3"/>
      <c r="S90" s="2"/>
      <c r="T90" s="2"/>
      <c r="U90" s="2"/>
      <c r="V90" s="2"/>
      <c r="W90" s="2"/>
      <c r="X90" s="2"/>
      <c r="Y90" s="2"/>
      <c r="Z90" s="2"/>
      <c r="AA90" s="2"/>
      <c r="AB90" s="3"/>
      <c r="AC90" s="2"/>
      <c r="AD90" s="2"/>
      <c r="AE90" s="2"/>
      <c r="AF90" s="3"/>
      <c r="AG90" s="2"/>
      <c r="AH90" s="2"/>
      <c r="AI90" s="2"/>
      <c r="AJ90" s="2"/>
      <c r="AK90" s="1"/>
      <c r="AL90" s="2"/>
      <c r="AM90" s="1"/>
      <c r="AN90" s="2"/>
      <c r="AO90" s="1"/>
      <c r="AP90" s="3"/>
      <c r="AQ90" s="2"/>
      <c r="AR90" s="2"/>
      <c r="AS90" s="2"/>
      <c r="AT90" s="2"/>
      <c r="AU90" s="2"/>
      <c r="AV90" s="2"/>
      <c r="AW90" s="2"/>
      <c r="AX90" s="3"/>
      <c r="AY90" s="2"/>
      <c r="AZ90" s="3"/>
      <c r="BA90" s="2"/>
      <c r="BB90" s="2"/>
      <c r="BC90" s="2"/>
      <c r="BD90" s="2"/>
      <c r="BE90" s="2"/>
      <c r="BF90" s="2"/>
      <c r="BG90" s="2"/>
      <c r="BH90" s="3"/>
      <c r="BI90" s="2"/>
      <c r="BJ90" s="3"/>
      <c r="BK90" s="2"/>
      <c r="BL90" s="2"/>
      <c r="BM90" s="2"/>
      <c r="BN90" s="2"/>
      <c r="BO90" s="2"/>
      <c r="BP90" s="2"/>
      <c r="BQ90" s="2"/>
      <c r="BR90" s="3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</row>
    <row r="91" spans="1:81" ht="16" x14ac:dyDescent="0.2">
      <c r="A91" s="1" t="s">
        <v>237</v>
      </c>
      <c r="B91" s="2">
        <v>308.32362699999999</v>
      </c>
      <c r="C91" s="2">
        <v>49.56</v>
      </c>
      <c r="D91" s="2">
        <v>1.58</v>
      </c>
      <c r="E91" s="2">
        <v>14.48</v>
      </c>
      <c r="F91" s="2">
        <v>10.84</v>
      </c>
      <c r="G91" s="2">
        <v>0.21</v>
      </c>
      <c r="H91" s="2">
        <v>7.84</v>
      </c>
      <c r="I91" s="2">
        <v>11.05</v>
      </c>
      <c r="J91" s="2">
        <v>2.81</v>
      </c>
      <c r="K91" s="2">
        <v>0.09</v>
      </c>
      <c r="L91" s="2">
        <v>0.14000000000000001</v>
      </c>
      <c r="M91" s="2">
        <v>0.38300000000000001</v>
      </c>
      <c r="N91" s="2">
        <v>130</v>
      </c>
      <c r="O91" s="2">
        <v>1376.44</v>
      </c>
      <c r="P91" s="2">
        <v>0.14599999999999999</v>
      </c>
      <c r="Q91" s="2"/>
      <c r="R91" s="3"/>
      <c r="S91" s="2"/>
      <c r="T91" s="2"/>
      <c r="U91" s="2"/>
      <c r="V91" s="2"/>
      <c r="W91" s="2"/>
      <c r="X91" s="2"/>
      <c r="Y91" s="2"/>
      <c r="Z91" s="2"/>
      <c r="AA91" s="2"/>
      <c r="AB91" s="3"/>
      <c r="AC91" s="2"/>
      <c r="AD91" s="2"/>
      <c r="AE91" s="2"/>
      <c r="AF91" s="3"/>
      <c r="AG91" s="2"/>
      <c r="AH91" s="2"/>
      <c r="AI91" s="2"/>
      <c r="AJ91" s="2"/>
      <c r="AK91" s="1"/>
      <c r="AL91" s="2"/>
      <c r="AM91" s="1"/>
      <c r="AN91" s="2"/>
      <c r="AO91" s="1"/>
      <c r="AP91" s="3"/>
      <c r="AQ91" s="2"/>
      <c r="AR91" s="2"/>
      <c r="AS91" s="2"/>
      <c r="AT91" s="2"/>
      <c r="AU91" s="2"/>
      <c r="AV91" s="2"/>
      <c r="AW91" s="2"/>
      <c r="AX91" s="3"/>
      <c r="AY91" s="2"/>
      <c r="AZ91" s="3"/>
      <c r="BA91" s="2"/>
      <c r="BB91" s="2"/>
      <c r="BC91" s="2"/>
      <c r="BD91" s="2"/>
      <c r="BE91" s="2"/>
      <c r="BF91" s="2"/>
      <c r="BG91" s="2"/>
      <c r="BH91" s="3"/>
      <c r="BI91" s="2"/>
      <c r="BJ91" s="3"/>
      <c r="BK91" s="2"/>
      <c r="BL91" s="2"/>
      <c r="BM91" s="2"/>
      <c r="BN91" s="2"/>
      <c r="BO91" s="2"/>
      <c r="BP91" s="2"/>
      <c r="BQ91" s="2"/>
      <c r="BR91" s="3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</row>
    <row r="92" spans="1:81" ht="16" x14ac:dyDescent="0.2">
      <c r="A92" s="1" t="s">
        <v>238</v>
      </c>
      <c r="B92" s="2">
        <v>117.09322400000001</v>
      </c>
      <c r="C92" s="2">
        <v>50.08</v>
      </c>
      <c r="D92" s="2">
        <v>1.48</v>
      </c>
      <c r="E92" s="2">
        <v>14.67</v>
      </c>
      <c r="F92" s="2">
        <v>10.44</v>
      </c>
      <c r="G92" s="2">
        <v>0.2</v>
      </c>
      <c r="H92" s="2">
        <v>7.57</v>
      </c>
      <c r="I92" s="2">
        <v>11.44</v>
      </c>
      <c r="J92" s="2">
        <v>2.88</v>
      </c>
      <c r="K92" s="2">
        <v>7.0000000000000007E-2</v>
      </c>
      <c r="L92" s="2">
        <v>0.14000000000000001</v>
      </c>
      <c r="M92" s="2">
        <v>0.33300000000000002</v>
      </c>
      <c r="N92" s="2">
        <v>46</v>
      </c>
      <c r="O92" s="2">
        <v>1101.1500000000001</v>
      </c>
      <c r="P92" s="2">
        <v>0.14199999999999999</v>
      </c>
      <c r="Q92" s="2"/>
      <c r="R92" s="3"/>
      <c r="S92" s="2"/>
      <c r="T92" s="2"/>
      <c r="U92" s="2"/>
      <c r="V92" s="2"/>
      <c r="W92" s="2"/>
      <c r="X92" s="2"/>
      <c r="Y92" s="2"/>
      <c r="Z92" s="2"/>
      <c r="AA92" s="2"/>
      <c r="AB92" s="3"/>
      <c r="AC92" s="2"/>
      <c r="AD92" s="2"/>
      <c r="AE92" s="2"/>
      <c r="AF92" s="3"/>
      <c r="AG92" s="2"/>
      <c r="AH92" s="2"/>
      <c r="AI92" s="2"/>
      <c r="AJ92" s="2"/>
      <c r="AK92" s="1"/>
      <c r="AL92" s="2"/>
      <c r="AM92" s="1"/>
      <c r="AN92" s="2"/>
      <c r="AO92" s="1"/>
      <c r="AP92" s="3"/>
      <c r="AQ92" s="2"/>
      <c r="AR92" s="2"/>
      <c r="AS92" s="2"/>
      <c r="AT92" s="2"/>
      <c r="AU92" s="2"/>
      <c r="AV92" s="2"/>
      <c r="AW92" s="2"/>
      <c r="AX92" s="3"/>
      <c r="AY92" s="2"/>
      <c r="AZ92" s="3"/>
      <c r="BA92" s="2"/>
      <c r="BB92" s="2"/>
      <c r="BC92" s="2"/>
      <c r="BD92" s="2"/>
      <c r="BE92" s="2"/>
      <c r="BF92" s="2"/>
      <c r="BG92" s="2"/>
      <c r="BH92" s="3"/>
      <c r="BI92" s="2"/>
      <c r="BJ92" s="3"/>
      <c r="BK92" s="2"/>
      <c r="BL92" s="2"/>
      <c r="BM92" s="2"/>
      <c r="BN92" s="2"/>
      <c r="BO92" s="2"/>
      <c r="BP92" s="2"/>
      <c r="BQ92" s="2"/>
      <c r="BR92" s="3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</row>
    <row r="93" spans="1:81" ht="16" x14ac:dyDescent="0.2">
      <c r="A93" s="1" t="s">
        <v>239</v>
      </c>
      <c r="B93" s="2">
        <v>326.69036399999999</v>
      </c>
      <c r="C93" s="2">
        <v>49.51</v>
      </c>
      <c r="D93" s="2">
        <v>1.47</v>
      </c>
      <c r="E93" s="2">
        <v>14.83</v>
      </c>
      <c r="F93" s="2">
        <v>10.48</v>
      </c>
      <c r="G93" s="2">
        <v>0.23</v>
      </c>
      <c r="H93" s="2">
        <v>8.16</v>
      </c>
      <c r="I93" s="2">
        <v>11.19</v>
      </c>
      <c r="J93" s="2">
        <v>2.83</v>
      </c>
      <c r="K93" s="2">
        <v>0.09</v>
      </c>
      <c r="L93" s="2">
        <v>0.13</v>
      </c>
      <c r="M93" s="2">
        <v>0.33700000000000002</v>
      </c>
      <c r="N93" s="2">
        <v>140</v>
      </c>
      <c r="O93" s="2">
        <v>1251.31</v>
      </c>
      <c r="P93" s="2">
        <v>0.14799999999999999</v>
      </c>
      <c r="Q93" s="2"/>
      <c r="R93" s="3"/>
      <c r="S93" s="2"/>
      <c r="T93" s="2"/>
      <c r="U93" s="2"/>
      <c r="V93" s="2"/>
      <c r="W93" s="2"/>
      <c r="X93" s="2"/>
      <c r="Y93" s="2"/>
      <c r="Z93" s="2"/>
      <c r="AA93" s="2"/>
      <c r="AB93" s="3"/>
      <c r="AC93" s="2"/>
      <c r="AD93" s="2"/>
      <c r="AE93" s="2"/>
      <c r="AF93" s="3"/>
      <c r="AG93" s="2"/>
      <c r="AH93" s="2"/>
      <c r="AI93" s="2"/>
      <c r="AJ93" s="2"/>
      <c r="AK93" s="1"/>
      <c r="AL93" s="2"/>
      <c r="AM93" s="1"/>
      <c r="AN93" s="2"/>
      <c r="AO93" s="1"/>
      <c r="AP93" s="3"/>
      <c r="AQ93" s="2"/>
      <c r="AR93" s="2"/>
      <c r="AS93" s="2"/>
      <c r="AT93" s="2"/>
      <c r="AU93" s="2"/>
      <c r="AV93" s="2"/>
      <c r="AW93" s="2"/>
      <c r="AX93" s="3"/>
      <c r="AY93" s="2"/>
      <c r="AZ93" s="3"/>
      <c r="BA93" s="2"/>
      <c r="BB93" s="2"/>
      <c r="BC93" s="2"/>
      <c r="BD93" s="2"/>
      <c r="BE93" s="2"/>
      <c r="BF93" s="2"/>
      <c r="BG93" s="2"/>
      <c r="BH93" s="3"/>
      <c r="BI93" s="2"/>
      <c r="BJ93" s="3"/>
      <c r="BK93" s="2"/>
      <c r="BL93" s="2"/>
      <c r="BM93" s="2"/>
      <c r="BN93" s="2"/>
      <c r="BO93" s="2"/>
      <c r="BP93" s="2"/>
      <c r="BQ93" s="2"/>
      <c r="BR93" s="3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</row>
    <row r="94" spans="1:81" ht="16" x14ac:dyDescent="0.2">
      <c r="A94" s="1" t="s">
        <v>240</v>
      </c>
      <c r="B94" s="2">
        <v>253.763036</v>
      </c>
      <c r="C94" s="2">
        <v>49.78</v>
      </c>
      <c r="D94" s="2">
        <v>1.59</v>
      </c>
      <c r="E94" s="2">
        <v>14.45</v>
      </c>
      <c r="F94" s="2">
        <v>11.1</v>
      </c>
      <c r="G94" s="2">
        <v>0.2</v>
      </c>
      <c r="H94" s="2">
        <v>7.3</v>
      </c>
      <c r="I94" s="2">
        <v>11.1</v>
      </c>
      <c r="J94" s="2">
        <v>2.82</v>
      </c>
      <c r="K94" s="2">
        <v>0.09</v>
      </c>
      <c r="L94" s="2">
        <v>0.13</v>
      </c>
      <c r="M94" s="2">
        <v>0.373</v>
      </c>
      <c r="N94" s="2">
        <v>106</v>
      </c>
      <c r="O94" s="2">
        <v>1271.33</v>
      </c>
      <c r="P94" s="2">
        <v>0.14299999999999999</v>
      </c>
      <c r="Q94" s="2"/>
      <c r="R94" s="3"/>
      <c r="S94" s="2"/>
      <c r="T94" s="2"/>
      <c r="U94" s="2"/>
      <c r="V94" s="2"/>
      <c r="W94" s="2"/>
      <c r="X94" s="2"/>
      <c r="Y94" s="2"/>
      <c r="Z94" s="2"/>
      <c r="AA94" s="2"/>
      <c r="AB94" s="3"/>
      <c r="AC94" s="2"/>
      <c r="AD94" s="2"/>
      <c r="AE94" s="2"/>
      <c r="AF94" s="3"/>
      <c r="AG94" s="2"/>
      <c r="AH94" s="2"/>
      <c r="AI94" s="2"/>
      <c r="AJ94" s="2"/>
      <c r="AK94" s="1"/>
      <c r="AL94" s="2"/>
      <c r="AM94" s="1"/>
      <c r="AN94" s="2"/>
      <c r="AO94" s="1"/>
      <c r="AP94" s="3"/>
      <c r="AQ94" s="2"/>
      <c r="AR94" s="2"/>
      <c r="AS94" s="2"/>
      <c r="AT94" s="2"/>
      <c r="AU94" s="2"/>
      <c r="AV94" s="2"/>
      <c r="AW94" s="2"/>
      <c r="AX94" s="3"/>
      <c r="AY94" s="2"/>
      <c r="AZ94" s="3"/>
      <c r="BA94" s="2"/>
      <c r="BB94" s="2"/>
      <c r="BC94" s="2"/>
      <c r="BD94" s="2"/>
      <c r="BE94" s="2"/>
      <c r="BF94" s="2"/>
      <c r="BG94" s="2"/>
      <c r="BH94" s="3"/>
      <c r="BI94" s="2"/>
      <c r="BJ94" s="3"/>
      <c r="BK94" s="2"/>
      <c r="BL94" s="2"/>
      <c r="BM94" s="2"/>
      <c r="BN94" s="2"/>
      <c r="BO94" s="2"/>
      <c r="BP94" s="2"/>
      <c r="BQ94" s="2"/>
      <c r="BR94" s="3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</row>
    <row r="95" spans="1:81" ht="16" x14ac:dyDescent="0.2">
      <c r="A95" s="1" t="s">
        <v>241</v>
      </c>
      <c r="B95" s="2">
        <v>295.66790600000002</v>
      </c>
      <c r="C95" s="2">
        <v>50.08</v>
      </c>
      <c r="D95" s="2">
        <v>1.38</v>
      </c>
      <c r="E95" s="2">
        <v>14.58</v>
      </c>
      <c r="F95" s="2">
        <v>10.51</v>
      </c>
      <c r="G95" s="2">
        <v>0.19</v>
      </c>
      <c r="H95" s="2">
        <v>7.83</v>
      </c>
      <c r="I95" s="2">
        <v>12.05</v>
      </c>
      <c r="J95" s="2">
        <v>2.69</v>
      </c>
      <c r="K95" s="2">
        <v>0.05</v>
      </c>
      <c r="L95" s="2">
        <v>0.11</v>
      </c>
      <c r="M95" s="2">
        <v>0.26</v>
      </c>
      <c r="N95" s="2">
        <v>128</v>
      </c>
      <c r="O95" s="2">
        <v>1241.3</v>
      </c>
      <c r="P95" s="2">
        <v>0.13700000000000001</v>
      </c>
      <c r="Q95" s="2"/>
      <c r="R95" s="3"/>
      <c r="S95" s="2"/>
      <c r="T95" s="2"/>
      <c r="U95" s="2"/>
      <c r="V95" s="2"/>
      <c r="W95" s="2"/>
      <c r="X95" s="2"/>
      <c r="Y95" s="2"/>
      <c r="Z95" s="2"/>
      <c r="AA95" s="2"/>
      <c r="AB95" s="3"/>
      <c r="AC95" s="2"/>
      <c r="AD95" s="2"/>
      <c r="AE95" s="2"/>
      <c r="AF95" s="3"/>
      <c r="AG95" s="2"/>
      <c r="AH95" s="2"/>
      <c r="AI95" s="2"/>
      <c r="AJ95" s="2"/>
      <c r="AK95" s="1"/>
      <c r="AL95" s="2"/>
      <c r="AM95" s="1"/>
      <c r="AN95" s="2"/>
      <c r="AO95" s="1"/>
      <c r="AP95" s="3"/>
      <c r="AQ95" s="2"/>
      <c r="AR95" s="2"/>
      <c r="AS95" s="2"/>
      <c r="AT95" s="2"/>
      <c r="AU95" s="2"/>
      <c r="AV95" s="2"/>
      <c r="AW95" s="2"/>
      <c r="AX95" s="3"/>
      <c r="AY95" s="2"/>
      <c r="AZ95" s="3"/>
      <c r="BA95" s="2"/>
      <c r="BB95" s="2"/>
      <c r="BC95" s="2"/>
      <c r="BD95" s="2"/>
      <c r="BE95" s="2"/>
      <c r="BF95" s="2"/>
      <c r="BG95" s="2"/>
      <c r="BH95" s="3"/>
      <c r="BI95" s="2"/>
      <c r="BJ95" s="3"/>
      <c r="BK95" s="2"/>
      <c r="BL95" s="2"/>
      <c r="BM95" s="2"/>
      <c r="BN95" s="2"/>
      <c r="BO95" s="2"/>
      <c r="BP95" s="2"/>
      <c r="BQ95" s="2"/>
      <c r="BR95" s="3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Y92"/>
  <sheetViews>
    <sheetView workbookViewId="0">
      <selection sqref="A1:D1"/>
    </sheetView>
  </sheetViews>
  <sheetFormatPr baseColWidth="10" defaultColWidth="12.6640625" defaultRowHeight="15.75" customHeight="1" x14ac:dyDescent="0.15"/>
  <cols>
    <col min="3" max="3" width="18.6640625" customWidth="1"/>
  </cols>
  <sheetData>
    <row r="1" spans="1:181" ht="15.75" customHeight="1" x14ac:dyDescent="0.2">
      <c r="A1" s="46" t="s">
        <v>242</v>
      </c>
      <c r="B1" s="43"/>
      <c r="C1" s="43"/>
      <c r="D1" s="4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5"/>
      <c r="BK1" s="4"/>
      <c r="BL1" s="5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5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</row>
    <row r="2" spans="1:181" ht="15.75" customHeight="1" x14ac:dyDescent="0.2">
      <c r="A2" s="46" t="s">
        <v>243</v>
      </c>
      <c r="B2" s="43"/>
      <c r="C2" s="43"/>
      <c r="D2" s="4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5"/>
      <c r="BK2" s="4"/>
      <c r="BL2" s="5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5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</row>
    <row r="3" spans="1:181" ht="15.75" customHeight="1" x14ac:dyDescent="0.2">
      <c r="A3" s="47" t="s">
        <v>244</v>
      </c>
      <c r="B3" s="43"/>
      <c r="C3" s="6"/>
      <c r="D3" s="6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5"/>
      <c r="BK3" s="4"/>
      <c r="BL3" s="5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7"/>
      <c r="CE3" s="7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5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</row>
    <row r="4" spans="1:181" ht="15.75" customHeight="1" x14ac:dyDescent="0.2">
      <c r="A4" s="8" t="s">
        <v>245</v>
      </c>
      <c r="B4" s="9"/>
      <c r="C4" s="9"/>
      <c r="D4" s="9"/>
      <c r="E4" s="9"/>
      <c r="F4" s="9"/>
      <c r="G4" s="10"/>
      <c r="H4" s="11"/>
      <c r="I4" s="9"/>
      <c r="J4" s="12"/>
      <c r="K4" s="48" t="s">
        <v>246</v>
      </c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9"/>
      <c r="AA4" s="48" t="s">
        <v>247</v>
      </c>
      <c r="AB4" s="45"/>
      <c r="AC4" s="45"/>
      <c r="AD4" s="45"/>
      <c r="AE4" s="45"/>
      <c r="AF4" s="45"/>
      <c r="AG4" s="45"/>
      <c r="AH4" s="49"/>
      <c r="AI4" s="50" t="s">
        <v>248</v>
      </c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  <c r="BC4" s="45"/>
      <c r="BD4" s="45"/>
      <c r="BE4" s="49"/>
      <c r="BF4" s="50" t="s">
        <v>249</v>
      </c>
      <c r="BG4" s="45"/>
      <c r="BH4" s="45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3"/>
      <c r="CC4" s="10" t="s">
        <v>250</v>
      </c>
      <c r="CD4" s="4"/>
      <c r="CE4" s="12"/>
      <c r="CF4" s="50" t="s">
        <v>251</v>
      </c>
      <c r="CG4" s="45"/>
      <c r="CH4" s="45"/>
      <c r="CI4" s="45"/>
      <c r="CJ4" s="45"/>
      <c r="CK4" s="45"/>
      <c r="CL4" s="11"/>
      <c r="CM4" s="11"/>
      <c r="CN4" s="11"/>
      <c r="CO4" s="11"/>
      <c r="CP4" s="11"/>
      <c r="CQ4" s="11"/>
      <c r="CR4" s="10"/>
      <c r="CS4" s="11"/>
      <c r="CT4" s="11"/>
      <c r="CU4" s="14"/>
      <c r="CV4" s="50" t="s">
        <v>252</v>
      </c>
      <c r="CW4" s="45"/>
      <c r="CX4" s="45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4"/>
      <c r="DL4" s="44" t="s">
        <v>253</v>
      </c>
      <c r="DM4" s="45"/>
      <c r="DN4" s="45"/>
      <c r="DO4" s="45"/>
      <c r="DP4" s="45"/>
      <c r="DQ4" s="49"/>
      <c r="DR4" s="44" t="s">
        <v>254</v>
      </c>
      <c r="DS4" s="45"/>
      <c r="DT4" s="45"/>
      <c r="DU4" s="45"/>
      <c r="DV4" s="45"/>
      <c r="DW4" s="49"/>
      <c r="DX4" s="44" t="s">
        <v>255</v>
      </c>
      <c r="DY4" s="45"/>
      <c r="DZ4" s="45"/>
      <c r="EA4" s="9"/>
      <c r="EB4" s="9"/>
      <c r="EC4" s="9"/>
      <c r="ED4" s="9"/>
      <c r="EE4" s="9"/>
      <c r="EF4" s="9"/>
      <c r="EG4" s="12"/>
      <c r="EH4" s="44" t="s">
        <v>256</v>
      </c>
      <c r="EI4" s="45"/>
      <c r="EJ4" s="45"/>
      <c r="EK4" s="9"/>
      <c r="EL4" s="9"/>
      <c r="EM4" s="15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</row>
    <row r="5" spans="1:181" ht="15.75" customHeight="1" x14ac:dyDescent="0.2">
      <c r="A5" s="16" t="s">
        <v>257</v>
      </c>
      <c r="B5" s="16" t="s">
        <v>0</v>
      </c>
      <c r="C5" s="16" t="s">
        <v>258</v>
      </c>
      <c r="D5" s="16" t="s">
        <v>259</v>
      </c>
      <c r="E5" s="17" t="s">
        <v>260</v>
      </c>
      <c r="F5" s="17" t="s">
        <v>261</v>
      </c>
      <c r="G5" s="17" t="s">
        <v>262</v>
      </c>
      <c r="H5" s="17" t="s">
        <v>263</v>
      </c>
      <c r="I5" s="17" t="s">
        <v>264</v>
      </c>
      <c r="J5" s="18" t="s">
        <v>263</v>
      </c>
      <c r="K5" s="17" t="s">
        <v>6</v>
      </c>
      <c r="L5" s="17" t="s">
        <v>7</v>
      </c>
      <c r="M5" s="17" t="s">
        <v>8</v>
      </c>
      <c r="N5" s="17" t="s">
        <v>10</v>
      </c>
      <c r="O5" s="17" t="s">
        <v>9</v>
      </c>
      <c r="P5" s="17" t="s">
        <v>11</v>
      </c>
      <c r="Q5" s="17" t="s">
        <v>12</v>
      </c>
      <c r="R5" s="17" t="s">
        <v>13</v>
      </c>
      <c r="S5" s="17" t="s">
        <v>14</v>
      </c>
      <c r="T5" s="17" t="s">
        <v>15</v>
      </c>
      <c r="U5" s="17" t="s">
        <v>16</v>
      </c>
      <c r="V5" s="17" t="s">
        <v>265</v>
      </c>
      <c r="W5" s="17" t="s">
        <v>266</v>
      </c>
      <c r="X5" s="17" t="s">
        <v>18</v>
      </c>
      <c r="Y5" s="17" t="s">
        <v>145</v>
      </c>
      <c r="Z5" s="18" t="s">
        <v>267</v>
      </c>
      <c r="AA5" s="17" t="s">
        <v>268</v>
      </c>
      <c r="AB5" s="17" t="s">
        <v>269</v>
      </c>
      <c r="AC5" s="17" t="s">
        <v>270</v>
      </c>
      <c r="AD5" s="17" t="s">
        <v>271</v>
      </c>
      <c r="AE5" s="17" t="s">
        <v>272</v>
      </c>
      <c r="AF5" s="17" t="s">
        <v>273</v>
      </c>
      <c r="AG5" s="17" t="s">
        <v>274</v>
      </c>
      <c r="AH5" s="18" t="s">
        <v>275</v>
      </c>
      <c r="AI5" s="17" t="s">
        <v>6</v>
      </c>
      <c r="AJ5" s="17" t="s">
        <v>7</v>
      </c>
      <c r="AK5" s="17" t="s">
        <v>8</v>
      </c>
      <c r="AL5" s="17" t="s">
        <v>10</v>
      </c>
      <c r="AM5" s="17" t="s">
        <v>9</v>
      </c>
      <c r="AN5" s="17" t="s">
        <v>11</v>
      </c>
      <c r="AO5" s="17" t="s">
        <v>12</v>
      </c>
      <c r="AP5" s="17" t="s">
        <v>13</v>
      </c>
      <c r="AQ5" s="17" t="s">
        <v>14</v>
      </c>
      <c r="AR5" s="17" t="s">
        <v>15</v>
      </c>
      <c r="AS5" s="17" t="s">
        <v>16</v>
      </c>
      <c r="AT5" s="17" t="s">
        <v>265</v>
      </c>
      <c r="AU5" s="17" t="s">
        <v>266</v>
      </c>
      <c r="AV5" s="17" t="s">
        <v>18</v>
      </c>
      <c r="AW5" s="17" t="s">
        <v>145</v>
      </c>
      <c r="AX5" s="17" t="s">
        <v>276</v>
      </c>
      <c r="AY5" s="17" t="s">
        <v>277</v>
      </c>
      <c r="AZ5" s="17" t="s">
        <v>278</v>
      </c>
      <c r="BA5" s="17" t="s">
        <v>271</v>
      </c>
      <c r="BB5" s="17" t="s">
        <v>272</v>
      </c>
      <c r="BC5" s="17" t="s">
        <v>273</v>
      </c>
      <c r="BD5" s="17" t="s">
        <v>279</v>
      </c>
      <c r="BE5" s="18" t="s">
        <v>280</v>
      </c>
      <c r="BF5" s="17" t="s">
        <v>281</v>
      </c>
      <c r="BG5" s="17" t="s">
        <v>263</v>
      </c>
      <c r="BH5" s="17" t="s">
        <v>282</v>
      </c>
      <c r="BI5" s="17" t="s">
        <v>263</v>
      </c>
      <c r="BJ5" s="17" t="s">
        <v>283</v>
      </c>
      <c r="BK5" s="17" t="s">
        <v>284</v>
      </c>
      <c r="BL5" s="17" t="s">
        <v>263</v>
      </c>
      <c r="BM5" s="17" t="s">
        <v>285</v>
      </c>
      <c r="BN5" s="17" t="s">
        <v>263</v>
      </c>
      <c r="BO5" s="17" t="s">
        <v>286</v>
      </c>
      <c r="BP5" s="17" t="s">
        <v>263</v>
      </c>
      <c r="BQ5" s="17" t="s">
        <v>287</v>
      </c>
      <c r="BR5" s="17" t="s">
        <v>263</v>
      </c>
      <c r="BS5" s="17" t="s">
        <v>288</v>
      </c>
      <c r="BT5" s="17" t="s">
        <v>263</v>
      </c>
      <c r="BU5" s="17" t="s">
        <v>289</v>
      </c>
      <c r="BV5" s="17" t="s">
        <v>263</v>
      </c>
      <c r="BW5" s="17" t="s">
        <v>290</v>
      </c>
      <c r="BX5" s="17" t="s">
        <v>263</v>
      </c>
      <c r="BY5" s="17" t="s">
        <v>291</v>
      </c>
      <c r="BZ5" s="17" t="s">
        <v>263</v>
      </c>
      <c r="CA5" s="17" t="s">
        <v>292</v>
      </c>
      <c r="CB5" s="18" t="s">
        <v>263</v>
      </c>
      <c r="CC5" s="17" t="s">
        <v>293</v>
      </c>
      <c r="CD5" s="17" t="s">
        <v>279</v>
      </c>
      <c r="CE5" s="18" t="s">
        <v>280</v>
      </c>
      <c r="CF5" s="17" t="s">
        <v>6</v>
      </c>
      <c r="CG5" s="17" t="s">
        <v>7</v>
      </c>
      <c r="CH5" s="17" t="s">
        <v>8</v>
      </c>
      <c r="CI5" s="17" t="s">
        <v>294</v>
      </c>
      <c r="CJ5" s="17" t="s">
        <v>11</v>
      </c>
      <c r="CK5" s="17" t="s">
        <v>12</v>
      </c>
      <c r="CL5" s="17" t="s">
        <v>13</v>
      </c>
      <c r="CM5" s="17" t="s">
        <v>295</v>
      </c>
      <c r="CN5" s="17" t="s">
        <v>15</v>
      </c>
      <c r="CO5" s="17" t="s">
        <v>16</v>
      </c>
      <c r="CP5" s="17" t="s">
        <v>265</v>
      </c>
      <c r="CQ5" s="17" t="s">
        <v>296</v>
      </c>
      <c r="CR5" s="17" t="s">
        <v>297</v>
      </c>
      <c r="CS5" s="17" t="s">
        <v>266</v>
      </c>
      <c r="CT5" s="17" t="s">
        <v>18</v>
      </c>
      <c r="CU5" s="18" t="s">
        <v>145</v>
      </c>
      <c r="CV5" s="17" t="s">
        <v>6</v>
      </c>
      <c r="CW5" s="17" t="s">
        <v>7</v>
      </c>
      <c r="CX5" s="17" t="s">
        <v>8</v>
      </c>
      <c r="CY5" s="17" t="s">
        <v>294</v>
      </c>
      <c r="CZ5" s="17" t="s">
        <v>11</v>
      </c>
      <c r="DA5" s="17" t="s">
        <v>12</v>
      </c>
      <c r="DB5" s="17" t="s">
        <v>13</v>
      </c>
      <c r="DC5" s="17" t="s">
        <v>14</v>
      </c>
      <c r="DD5" s="17" t="s">
        <v>15</v>
      </c>
      <c r="DE5" s="17" t="s">
        <v>16</v>
      </c>
      <c r="DF5" s="17" t="s">
        <v>265</v>
      </c>
      <c r="DG5" s="17" t="s">
        <v>298</v>
      </c>
      <c r="DH5" s="17" t="s">
        <v>299</v>
      </c>
      <c r="DI5" s="17" t="s">
        <v>266</v>
      </c>
      <c r="DJ5" s="17" t="s">
        <v>18</v>
      </c>
      <c r="DK5" s="18" t="s">
        <v>145</v>
      </c>
      <c r="DL5" s="17" t="s">
        <v>6</v>
      </c>
      <c r="DM5" s="17" t="s">
        <v>294</v>
      </c>
      <c r="DN5" s="17" t="s">
        <v>11</v>
      </c>
      <c r="DO5" s="17" t="s">
        <v>12</v>
      </c>
      <c r="DP5" s="17" t="s">
        <v>13</v>
      </c>
      <c r="DQ5" s="18" t="s">
        <v>300</v>
      </c>
      <c r="DR5" s="17" t="s">
        <v>6</v>
      </c>
      <c r="DS5" s="17" t="s">
        <v>294</v>
      </c>
      <c r="DT5" s="17" t="s">
        <v>11</v>
      </c>
      <c r="DU5" s="17" t="s">
        <v>12</v>
      </c>
      <c r="DV5" s="17" t="s">
        <v>13</v>
      </c>
      <c r="DW5" s="18" t="s">
        <v>300</v>
      </c>
      <c r="DX5" s="17" t="s">
        <v>301</v>
      </c>
      <c r="DY5" s="17" t="s">
        <v>302</v>
      </c>
      <c r="DZ5" s="17" t="s">
        <v>303</v>
      </c>
      <c r="EA5" s="17" t="s">
        <v>304</v>
      </c>
      <c r="EB5" s="17" t="s">
        <v>305</v>
      </c>
      <c r="EC5" s="17" t="s">
        <v>306</v>
      </c>
      <c r="ED5" s="17" t="s">
        <v>307</v>
      </c>
      <c r="EE5" s="17" t="s">
        <v>308</v>
      </c>
      <c r="EF5" s="17" t="s">
        <v>309</v>
      </c>
      <c r="EG5" s="18" t="s">
        <v>310</v>
      </c>
      <c r="EH5" s="17" t="s">
        <v>311</v>
      </c>
      <c r="EI5" s="17" t="s">
        <v>307</v>
      </c>
      <c r="EJ5" s="17" t="s">
        <v>312</v>
      </c>
      <c r="EK5" s="17" t="s">
        <v>305</v>
      </c>
      <c r="EL5" s="18" t="s">
        <v>306</v>
      </c>
      <c r="EM5" s="18" t="s">
        <v>19</v>
      </c>
      <c r="EN5" s="4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</row>
    <row r="6" spans="1:181" ht="15.75" customHeight="1" x14ac:dyDescent="0.2">
      <c r="A6" s="4" t="s">
        <v>313</v>
      </c>
      <c r="B6" s="4" t="s">
        <v>1</v>
      </c>
      <c r="C6" s="4" t="s">
        <v>314</v>
      </c>
      <c r="D6" s="4" t="s">
        <v>315</v>
      </c>
      <c r="E6" s="4" t="s">
        <v>316</v>
      </c>
      <c r="F6" s="5" t="s">
        <v>317</v>
      </c>
      <c r="G6" s="5">
        <v>0.2</v>
      </c>
      <c r="H6" s="5">
        <v>0.01</v>
      </c>
      <c r="I6" s="4" t="s">
        <v>3</v>
      </c>
      <c r="J6" s="19" t="s">
        <v>3</v>
      </c>
      <c r="K6" s="5">
        <v>49.49</v>
      </c>
      <c r="L6" s="5">
        <v>0.81</v>
      </c>
      <c r="M6" s="5">
        <v>18.05</v>
      </c>
      <c r="N6" s="5">
        <v>2.59</v>
      </c>
      <c r="O6" s="5">
        <v>7.24</v>
      </c>
      <c r="P6" s="5">
        <v>0.21</v>
      </c>
      <c r="Q6" s="5">
        <v>4.0599999999999996</v>
      </c>
      <c r="R6" s="5">
        <v>8.5</v>
      </c>
      <c r="S6" s="5">
        <v>2.99</v>
      </c>
      <c r="T6" s="5">
        <v>0.63</v>
      </c>
      <c r="U6" s="5">
        <v>0.21</v>
      </c>
      <c r="V6" s="5">
        <v>1577</v>
      </c>
      <c r="W6" s="5">
        <v>1084</v>
      </c>
      <c r="X6" s="5">
        <v>4.9000000000000004</v>
      </c>
      <c r="Y6" s="5">
        <v>853</v>
      </c>
      <c r="Z6" s="20">
        <v>100.1</v>
      </c>
      <c r="AA6" s="5">
        <v>1098</v>
      </c>
      <c r="AB6" s="5">
        <v>1027</v>
      </c>
      <c r="AC6" s="5"/>
      <c r="AD6" s="5"/>
      <c r="AE6" s="5">
        <v>-6.6</v>
      </c>
      <c r="AF6" s="5">
        <v>0.33</v>
      </c>
      <c r="AG6" s="5">
        <v>347</v>
      </c>
      <c r="AH6" s="20">
        <v>13.1</v>
      </c>
      <c r="AI6" s="5">
        <v>0.21</v>
      </c>
      <c r="AJ6" s="5">
        <v>0.03</v>
      </c>
      <c r="AK6" s="5">
        <v>0.1</v>
      </c>
      <c r="AL6" s="5">
        <v>0.13</v>
      </c>
      <c r="AM6" s="5">
        <v>0.14000000000000001</v>
      </c>
      <c r="AN6" s="5">
        <v>0.02</v>
      </c>
      <c r="AO6" s="5">
        <v>0.12</v>
      </c>
      <c r="AP6" s="5">
        <v>0.02</v>
      </c>
      <c r="AQ6" s="5">
        <v>0.65</v>
      </c>
      <c r="AR6" s="5">
        <v>0.01</v>
      </c>
      <c r="AS6" s="5">
        <v>0</v>
      </c>
      <c r="AT6" s="5">
        <v>135</v>
      </c>
      <c r="AU6" s="5">
        <v>19</v>
      </c>
      <c r="AV6" s="5">
        <v>0.1</v>
      </c>
      <c r="AW6" s="5">
        <v>137</v>
      </c>
      <c r="AX6" s="5">
        <v>2</v>
      </c>
      <c r="AY6" s="5">
        <v>4</v>
      </c>
      <c r="AZ6" s="5"/>
      <c r="BA6" s="5"/>
      <c r="BB6" s="5">
        <v>0.25</v>
      </c>
      <c r="BC6" s="5">
        <v>0.01</v>
      </c>
      <c r="BD6" s="5">
        <v>21</v>
      </c>
      <c r="BE6" s="20">
        <v>0.7</v>
      </c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20"/>
      <c r="CC6" s="5">
        <v>3.9</v>
      </c>
      <c r="CD6" s="5">
        <v>337</v>
      </c>
      <c r="CE6" s="20">
        <v>12.7</v>
      </c>
      <c r="CF6" s="5">
        <v>48.62</v>
      </c>
      <c r="CG6" s="5">
        <v>0.75</v>
      </c>
      <c r="CH6" s="5">
        <v>16.8</v>
      </c>
      <c r="CI6" s="5">
        <v>10.82</v>
      </c>
      <c r="CJ6" s="5">
        <v>0.19</v>
      </c>
      <c r="CK6" s="5">
        <v>6.21</v>
      </c>
      <c r="CL6" s="5">
        <v>7.91</v>
      </c>
      <c r="CM6" s="5">
        <v>2.79</v>
      </c>
      <c r="CN6" s="5">
        <v>0.57999999999999996</v>
      </c>
      <c r="CO6" s="5">
        <v>0.19</v>
      </c>
      <c r="CP6" s="5">
        <v>1081</v>
      </c>
      <c r="CQ6" s="5">
        <v>664</v>
      </c>
      <c r="CR6" s="5">
        <v>1468</v>
      </c>
      <c r="CS6" s="5">
        <v>1009</v>
      </c>
      <c r="CT6" s="5">
        <v>4.5999999999999996</v>
      </c>
      <c r="CU6" s="20">
        <v>794</v>
      </c>
      <c r="CV6" s="5">
        <v>0.22</v>
      </c>
      <c r="CW6" s="5">
        <v>0.03</v>
      </c>
      <c r="CX6" s="5">
        <v>0.11</v>
      </c>
      <c r="CY6" s="5">
        <v>0.03</v>
      </c>
      <c r="CZ6" s="5">
        <v>0.02</v>
      </c>
      <c r="DA6" s="5">
        <v>0.04</v>
      </c>
      <c r="DB6" s="5">
        <v>0</v>
      </c>
      <c r="DC6" s="5">
        <v>0.52</v>
      </c>
      <c r="DD6" s="5">
        <v>0.01</v>
      </c>
      <c r="DE6" s="5">
        <v>0</v>
      </c>
      <c r="DF6" s="5">
        <v>26</v>
      </c>
      <c r="DG6" s="5">
        <v>54</v>
      </c>
      <c r="DH6" s="5">
        <v>125</v>
      </c>
      <c r="DI6" s="5">
        <v>16</v>
      </c>
      <c r="DJ6" s="5">
        <v>0.09</v>
      </c>
      <c r="DK6" s="20">
        <v>135</v>
      </c>
      <c r="DL6" s="5">
        <v>38.56</v>
      </c>
      <c r="DM6" s="5">
        <v>22.97</v>
      </c>
      <c r="DN6" s="5">
        <v>0.13</v>
      </c>
      <c r="DO6" s="5">
        <v>39.57</v>
      </c>
      <c r="DP6" s="5">
        <v>0.33</v>
      </c>
      <c r="DQ6" s="20">
        <v>75.400000000000006</v>
      </c>
      <c r="DR6" s="5">
        <v>0.02</v>
      </c>
      <c r="DS6" s="5">
        <v>0.13</v>
      </c>
      <c r="DT6" s="5">
        <v>0.02</v>
      </c>
      <c r="DU6" s="5">
        <v>0.15</v>
      </c>
      <c r="DV6" s="5">
        <v>0.01</v>
      </c>
      <c r="DW6" s="20">
        <v>0.16</v>
      </c>
      <c r="DX6" s="5" t="s">
        <v>318</v>
      </c>
      <c r="DY6" s="5" t="s">
        <v>319</v>
      </c>
      <c r="DZ6" s="5" t="s">
        <v>320</v>
      </c>
      <c r="EA6" s="5" t="s">
        <v>321</v>
      </c>
      <c r="EB6" s="5">
        <v>107</v>
      </c>
      <c r="EC6" s="5">
        <v>94</v>
      </c>
      <c r="ED6" s="5" t="s">
        <v>3</v>
      </c>
      <c r="EE6" s="5" t="s">
        <v>322</v>
      </c>
      <c r="EF6" s="5"/>
      <c r="EG6" s="20"/>
      <c r="EH6" s="5"/>
      <c r="EI6" s="5"/>
      <c r="EJ6" s="5"/>
      <c r="EK6" s="5"/>
      <c r="EL6" s="5"/>
      <c r="EM6" s="21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4"/>
    </row>
    <row r="7" spans="1:181" ht="15.75" customHeight="1" x14ac:dyDescent="0.2">
      <c r="A7" s="4" t="s">
        <v>323</v>
      </c>
      <c r="B7" s="4" t="s">
        <v>1</v>
      </c>
      <c r="C7" s="4" t="s">
        <v>314</v>
      </c>
      <c r="D7" s="4" t="s">
        <v>324</v>
      </c>
      <c r="E7" s="5" t="s">
        <v>325</v>
      </c>
      <c r="F7" s="5" t="s">
        <v>317</v>
      </c>
      <c r="G7" s="5">
        <v>0.2</v>
      </c>
      <c r="H7" s="5">
        <v>0.01</v>
      </c>
      <c r="I7" s="4" t="s">
        <v>3</v>
      </c>
      <c r="J7" s="19" t="s">
        <v>3</v>
      </c>
      <c r="K7" s="5">
        <v>49.79</v>
      </c>
      <c r="L7" s="5">
        <v>1.24</v>
      </c>
      <c r="M7" s="5">
        <v>17.149999999999999</v>
      </c>
      <c r="N7" s="5">
        <v>3</v>
      </c>
      <c r="O7" s="5">
        <v>6.59</v>
      </c>
      <c r="P7" s="5">
        <v>0.27</v>
      </c>
      <c r="Q7" s="5">
        <v>3.24</v>
      </c>
      <c r="R7" s="5">
        <v>7.98</v>
      </c>
      <c r="S7" s="5">
        <v>3.56</v>
      </c>
      <c r="T7" s="5">
        <v>0.88</v>
      </c>
      <c r="U7" s="5">
        <v>0.21</v>
      </c>
      <c r="V7" s="5">
        <v>2024</v>
      </c>
      <c r="W7" s="5">
        <v>1223</v>
      </c>
      <c r="X7" s="5">
        <v>4.3</v>
      </c>
      <c r="Y7" s="5">
        <v>1010</v>
      </c>
      <c r="Z7" s="20">
        <v>98.6</v>
      </c>
      <c r="AA7" s="5">
        <v>1125</v>
      </c>
      <c r="AB7" s="5">
        <v>1007</v>
      </c>
      <c r="AC7" s="5"/>
      <c r="AD7" s="5"/>
      <c r="AE7" s="5">
        <v>-10.5</v>
      </c>
      <c r="AF7" s="5">
        <v>0.31</v>
      </c>
      <c r="AG7" s="5">
        <v>278</v>
      </c>
      <c r="AH7" s="20">
        <v>10.7</v>
      </c>
      <c r="AI7" s="5">
        <v>0.09</v>
      </c>
      <c r="AJ7" s="5">
        <v>0.01</v>
      </c>
      <c r="AK7" s="5">
        <v>0.18</v>
      </c>
      <c r="AL7" s="5">
        <v>0.15</v>
      </c>
      <c r="AM7" s="5">
        <v>0.15</v>
      </c>
      <c r="AN7" s="5">
        <v>0.02</v>
      </c>
      <c r="AO7" s="5">
        <v>0.09</v>
      </c>
      <c r="AP7" s="5">
        <v>0.08</v>
      </c>
      <c r="AQ7" s="5">
        <v>0.61</v>
      </c>
      <c r="AR7" s="5">
        <v>0.01</v>
      </c>
      <c r="AS7" s="5">
        <v>0</v>
      </c>
      <c r="AT7" s="5">
        <v>135</v>
      </c>
      <c r="AU7" s="5">
        <v>54</v>
      </c>
      <c r="AV7" s="5">
        <v>0.1</v>
      </c>
      <c r="AW7" s="5">
        <v>187</v>
      </c>
      <c r="AX7" s="5">
        <v>3</v>
      </c>
      <c r="AY7" s="5">
        <v>5</v>
      </c>
      <c r="AZ7" s="5"/>
      <c r="BA7" s="5"/>
      <c r="BB7" s="5">
        <v>0.37</v>
      </c>
      <c r="BC7" s="5">
        <v>0.01</v>
      </c>
      <c r="BD7" s="5">
        <v>23</v>
      </c>
      <c r="BE7" s="20">
        <v>0.8</v>
      </c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20"/>
      <c r="CC7" s="5">
        <v>4</v>
      </c>
      <c r="CD7" s="5">
        <v>375</v>
      </c>
      <c r="CE7" s="20">
        <v>14</v>
      </c>
      <c r="CF7" s="5">
        <v>48.08</v>
      </c>
      <c r="CG7" s="5">
        <v>1.0900000000000001</v>
      </c>
      <c r="CH7" s="5">
        <v>15.15</v>
      </c>
      <c r="CI7" s="5">
        <v>11.93</v>
      </c>
      <c r="CJ7" s="5">
        <v>0.23</v>
      </c>
      <c r="CK7" s="5">
        <v>6.49</v>
      </c>
      <c r="CL7" s="5">
        <v>7.05</v>
      </c>
      <c r="CM7" s="5">
        <v>3.15</v>
      </c>
      <c r="CN7" s="5">
        <v>0.78</v>
      </c>
      <c r="CO7" s="5">
        <v>0.18</v>
      </c>
      <c r="CP7" s="5">
        <v>1120</v>
      </c>
      <c r="CQ7" s="5">
        <v>565</v>
      </c>
      <c r="CR7" s="5">
        <v>1788</v>
      </c>
      <c r="CS7" s="5">
        <v>1080</v>
      </c>
      <c r="CT7" s="5">
        <v>3.77</v>
      </c>
      <c r="CU7" s="20">
        <v>892</v>
      </c>
      <c r="CV7" s="5">
        <v>0.06</v>
      </c>
      <c r="CW7" s="5">
        <v>0</v>
      </c>
      <c r="CX7" s="5">
        <v>0.12</v>
      </c>
      <c r="CY7" s="5">
        <v>0.13</v>
      </c>
      <c r="CZ7" s="5">
        <v>0.02</v>
      </c>
      <c r="DA7" s="5">
        <v>0.1</v>
      </c>
      <c r="DB7" s="5">
        <v>0.09</v>
      </c>
      <c r="DC7" s="5">
        <v>0.52</v>
      </c>
      <c r="DD7" s="5">
        <v>0.01</v>
      </c>
      <c r="DE7" s="5">
        <v>0</v>
      </c>
      <c r="DF7" s="5">
        <v>35</v>
      </c>
      <c r="DG7" s="5">
        <v>37</v>
      </c>
      <c r="DH7" s="5">
        <v>130</v>
      </c>
      <c r="DI7" s="5">
        <v>47</v>
      </c>
      <c r="DJ7" s="5">
        <v>0.05</v>
      </c>
      <c r="DK7" s="20">
        <v>175</v>
      </c>
      <c r="DL7" s="5">
        <v>38.4</v>
      </c>
      <c r="DM7" s="5">
        <v>24.11</v>
      </c>
      <c r="DN7" s="5">
        <v>0.15</v>
      </c>
      <c r="DO7" s="5">
        <v>38</v>
      </c>
      <c r="DP7" s="5">
        <v>0.4</v>
      </c>
      <c r="DQ7" s="20">
        <v>73.7</v>
      </c>
      <c r="DR7" s="5">
        <v>0.1</v>
      </c>
      <c r="DS7" s="5">
        <v>0.18</v>
      </c>
      <c r="DT7" s="5">
        <v>0.01</v>
      </c>
      <c r="DU7" s="5">
        <v>0.06</v>
      </c>
      <c r="DV7" s="5">
        <v>0</v>
      </c>
      <c r="DW7" s="20">
        <v>0.11</v>
      </c>
      <c r="DX7" s="5" t="s">
        <v>318</v>
      </c>
      <c r="DY7" s="5" t="s">
        <v>319</v>
      </c>
      <c r="DZ7" s="5" t="s">
        <v>326</v>
      </c>
      <c r="EA7" s="5" t="s">
        <v>321</v>
      </c>
      <c r="EB7" s="5">
        <v>100</v>
      </c>
      <c r="EC7" s="5">
        <v>90</v>
      </c>
      <c r="ED7" s="5" t="s">
        <v>3</v>
      </c>
      <c r="EE7" s="5" t="s">
        <v>3</v>
      </c>
      <c r="EF7" s="5"/>
      <c r="EG7" s="20"/>
      <c r="EH7" s="5" t="s">
        <v>327</v>
      </c>
      <c r="EI7" s="5" t="s">
        <v>328</v>
      </c>
      <c r="EJ7" s="5" t="s">
        <v>328</v>
      </c>
      <c r="EK7" s="5"/>
      <c r="EL7" s="5"/>
      <c r="EM7" s="21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4"/>
    </row>
    <row r="8" spans="1:181" ht="15.75" customHeight="1" x14ac:dyDescent="0.2">
      <c r="A8" s="4" t="s">
        <v>329</v>
      </c>
      <c r="B8" s="4" t="s">
        <v>1</v>
      </c>
      <c r="C8" s="4" t="s">
        <v>314</v>
      </c>
      <c r="D8" s="4" t="s">
        <v>324</v>
      </c>
      <c r="E8" s="5" t="s">
        <v>325</v>
      </c>
      <c r="F8" s="5" t="s">
        <v>317</v>
      </c>
      <c r="G8" s="5">
        <v>0.2</v>
      </c>
      <c r="H8" s="5">
        <v>0.01</v>
      </c>
      <c r="I8" s="4" t="s">
        <v>3</v>
      </c>
      <c r="J8" s="19" t="s">
        <v>3</v>
      </c>
      <c r="K8" s="5">
        <v>50.17</v>
      </c>
      <c r="L8" s="5">
        <v>1.1599999999999999</v>
      </c>
      <c r="M8" s="5">
        <v>17.059999999999999</v>
      </c>
      <c r="N8" s="5">
        <v>2.99</v>
      </c>
      <c r="O8" s="5">
        <v>6.68</v>
      </c>
      <c r="P8" s="5">
        <v>0.27</v>
      </c>
      <c r="Q8" s="5">
        <v>3.35</v>
      </c>
      <c r="R8" s="5">
        <v>8.1999999999999993</v>
      </c>
      <c r="S8" s="5">
        <v>3.79</v>
      </c>
      <c r="T8" s="5">
        <v>0.81</v>
      </c>
      <c r="U8" s="5">
        <v>0.2</v>
      </c>
      <c r="V8" s="5">
        <v>1953</v>
      </c>
      <c r="W8" s="5">
        <v>1321</v>
      </c>
      <c r="X8" s="5">
        <v>4.4000000000000004</v>
      </c>
      <c r="Y8" s="5">
        <v>1255</v>
      </c>
      <c r="Z8" s="20">
        <v>99.6</v>
      </c>
      <c r="AA8" s="5">
        <v>1123</v>
      </c>
      <c r="AB8" s="5">
        <v>1012</v>
      </c>
      <c r="AC8" s="5"/>
      <c r="AD8" s="5"/>
      <c r="AE8" s="5">
        <v>-10</v>
      </c>
      <c r="AF8" s="5">
        <v>0.31</v>
      </c>
      <c r="AG8" s="5">
        <v>342</v>
      </c>
      <c r="AH8" s="20">
        <v>12.9</v>
      </c>
      <c r="AI8" s="5">
        <v>0.75</v>
      </c>
      <c r="AJ8" s="5">
        <v>7.0000000000000007E-2</v>
      </c>
      <c r="AK8" s="5">
        <v>0.15</v>
      </c>
      <c r="AL8" s="5">
        <v>0.15</v>
      </c>
      <c r="AM8" s="5">
        <v>0.18</v>
      </c>
      <c r="AN8" s="5">
        <v>0</v>
      </c>
      <c r="AO8" s="5">
        <v>0.11</v>
      </c>
      <c r="AP8" s="5">
        <v>0.05</v>
      </c>
      <c r="AQ8" s="5">
        <v>0.21</v>
      </c>
      <c r="AR8" s="5">
        <v>0</v>
      </c>
      <c r="AS8" s="5">
        <v>0.01</v>
      </c>
      <c r="AT8" s="5">
        <v>119</v>
      </c>
      <c r="AU8" s="5">
        <v>66</v>
      </c>
      <c r="AV8" s="5">
        <v>0.1</v>
      </c>
      <c r="AW8" s="5">
        <v>293</v>
      </c>
      <c r="AX8" s="5">
        <v>4</v>
      </c>
      <c r="AY8" s="5">
        <v>6</v>
      </c>
      <c r="AZ8" s="5"/>
      <c r="BA8" s="5"/>
      <c r="BB8" s="5">
        <v>0.4</v>
      </c>
      <c r="BC8" s="5">
        <v>0</v>
      </c>
      <c r="BD8" s="5">
        <v>49</v>
      </c>
      <c r="BE8" s="20">
        <v>1.7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20"/>
      <c r="CC8" s="5">
        <v>4</v>
      </c>
      <c r="CD8" s="5">
        <v>411</v>
      </c>
      <c r="CE8" s="20">
        <v>15.2</v>
      </c>
      <c r="CF8" s="5">
        <v>48.53</v>
      </c>
      <c r="CG8" s="5">
        <v>1.03</v>
      </c>
      <c r="CH8" s="5">
        <v>15.17</v>
      </c>
      <c r="CI8" s="5">
        <v>11.97</v>
      </c>
      <c r="CJ8" s="5">
        <v>0.24</v>
      </c>
      <c r="CK8" s="5">
        <v>6.41</v>
      </c>
      <c r="CL8" s="5">
        <v>7.29</v>
      </c>
      <c r="CM8" s="5">
        <v>3.37</v>
      </c>
      <c r="CN8" s="5">
        <v>0.72</v>
      </c>
      <c r="CO8" s="5">
        <v>0.18</v>
      </c>
      <c r="CP8" s="5">
        <v>1088</v>
      </c>
      <c r="CQ8" s="5">
        <v>565</v>
      </c>
      <c r="CR8" s="5">
        <v>1737</v>
      </c>
      <c r="CS8" s="5">
        <v>1175</v>
      </c>
      <c r="CT8" s="5">
        <v>3.95</v>
      </c>
      <c r="CU8" s="20">
        <v>1116</v>
      </c>
      <c r="CV8" s="5">
        <v>0.77</v>
      </c>
      <c r="CW8" s="5">
        <v>0.06</v>
      </c>
      <c r="CX8" s="5">
        <v>0.12</v>
      </c>
      <c r="CY8" s="5">
        <v>0.05</v>
      </c>
      <c r="CZ8" s="5">
        <v>0</v>
      </c>
      <c r="DA8" s="5">
        <v>0.13</v>
      </c>
      <c r="DB8" s="5">
        <v>0.03</v>
      </c>
      <c r="DC8" s="5">
        <v>0.21</v>
      </c>
      <c r="DD8" s="5">
        <v>0</v>
      </c>
      <c r="DE8" s="5">
        <v>0.01</v>
      </c>
      <c r="DF8" s="5">
        <v>18</v>
      </c>
      <c r="DG8" s="5">
        <v>37</v>
      </c>
      <c r="DH8" s="5">
        <v>118</v>
      </c>
      <c r="DI8" s="5">
        <v>66</v>
      </c>
      <c r="DJ8" s="5">
        <v>0.09</v>
      </c>
      <c r="DK8" s="20">
        <v>315</v>
      </c>
      <c r="DL8" s="5">
        <v>38.42</v>
      </c>
      <c r="DM8" s="5">
        <v>23.84</v>
      </c>
      <c r="DN8" s="5">
        <v>0.15</v>
      </c>
      <c r="DO8" s="5">
        <v>38.32</v>
      </c>
      <c r="DP8" s="5">
        <v>0.37</v>
      </c>
      <c r="DQ8" s="20">
        <v>74.099999999999994</v>
      </c>
      <c r="DR8" s="5">
        <v>7.0000000000000007E-2</v>
      </c>
      <c r="DS8" s="5">
        <v>0.06</v>
      </c>
      <c r="DT8" s="5">
        <v>0.01</v>
      </c>
      <c r="DU8" s="5">
        <v>0.09</v>
      </c>
      <c r="DV8" s="5">
        <v>0.01</v>
      </c>
      <c r="DW8" s="20">
        <v>0.09</v>
      </c>
      <c r="DX8" s="5" t="s">
        <v>318</v>
      </c>
      <c r="DY8" s="5" t="s">
        <v>319</v>
      </c>
      <c r="DZ8" s="5" t="s">
        <v>330</v>
      </c>
      <c r="EA8" s="5" t="s">
        <v>321</v>
      </c>
      <c r="EB8" s="5">
        <v>80</v>
      </c>
      <c r="EC8" s="5">
        <v>70</v>
      </c>
      <c r="ED8" s="5" t="s">
        <v>3</v>
      </c>
      <c r="EE8" s="5" t="s">
        <v>3</v>
      </c>
      <c r="EF8" s="5"/>
      <c r="EG8" s="20"/>
      <c r="EH8" s="5" t="s">
        <v>331</v>
      </c>
      <c r="EI8" s="5" t="s">
        <v>328</v>
      </c>
      <c r="EJ8" s="5" t="s">
        <v>328</v>
      </c>
      <c r="EK8" s="5"/>
      <c r="EL8" s="5"/>
      <c r="EM8" s="21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4"/>
    </row>
    <row r="9" spans="1:181" ht="15.75" customHeight="1" x14ac:dyDescent="0.2">
      <c r="A9" s="4" t="s">
        <v>332</v>
      </c>
      <c r="B9" s="4" t="s">
        <v>1</v>
      </c>
      <c r="C9" s="4" t="s">
        <v>314</v>
      </c>
      <c r="D9" s="4" t="s">
        <v>324</v>
      </c>
      <c r="E9" s="5" t="s">
        <v>325</v>
      </c>
      <c r="F9" s="5" t="s">
        <v>317</v>
      </c>
      <c r="G9" s="5">
        <v>0.2</v>
      </c>
      <c r="H9" s="5">
        <v>0.01</v>
      </c>
      <c r="I9" s="4" t="s">
        <v>3</v>
      </c>
      <c r="J9" s="19" t="s">
        <v>3</v>
      </c>
      <c r="K9" s="5">
        <v>51.26</v>
      </c>
      <c r="L9" s="5">
        <v>1.17</v>
      </c>
      <c r="M9" s="5">
        <v>16.510000000000002</v>
      </c>
      <c r="N9" s="5">
        <v>2.5</v>
      </c>
      <c r="O9" s="5">
        <v>7.18</v>
      </c>
      <c r="P9" s="5">
        <v>0.21</v>
      </c>
      <c r="Q9" s="5">
        <v>3.75</v>
      </c>
      <c r="R9" s="5">
        <v>7.44</v>
      </c>
      <c r="S9" s="5">
        <v>3.71</v>
      </c>
      <c r="T9" s="5">
        <v>0.87</v>
      </c>
      <c r="U9" s="5">
        <v>0.21</v>
      </c>
      <c r="V9" s="5">
        <v>1569</v>
      </c>
      <c r="W9" s="5">
        <v>1308</v>
      </c>
      <c r="X9" s="5">
        <v>3.8</v>
      </c>
      <c r="Y9" s="5">
        <v>826</v>
      </c>
      <c r="Z9" s="20">
        <v>99</v>
      </c>
      <c r="AA9" s="5">
        <v>1114</v>
      </c>
      <c r="AB9" s="5">
        <v>1038</v>
      </c>
      <c r="AC9" s="5"/>
      <c r="AD9" s="5"/>
      <c r="AE9" s="5">
        <v>-6.5</v>
      </c>
      <c r="AF9" s="5">
        <v>0.31</v>
      </c>
      <c r="AG9" s="5">
        <v>286</v>
      </c>
      <c r="AH9" s="20">
        <v>10.9</v>
      </c>
      <c r="AI9" s="5">
        <v>0.35</v>
      </c>
      <c r="AJ9" s="5">
        <v>0.04</v>
      </c>
      <c r="AK9" s="5">
        <v>0.06</v>
      </c>
      <c r="AL9" s="5">
        <v>0.14000000000000001</v>
      </c>
      <c r="AM9" s="5">
        <v>0.14000000000000001</v>
      </c>
      <c r="AN9" s="5">
        <v>0.01</v>
      </c>
      <c r="AO9" s="5">
        <v>0.1</v>
      </c>
      <c r="AP9" s="5">
        <v>7.0000000000000007E-2</v>
      </c>
      <c r="AQ9" s="5">
        <v>0.05</v>
      </c>
      <c r="AR9" s="5">
        <v>0.03</v>
      </c>
      <c r="AS9" s="5">
        <v>0.01</v>
      </c>
      <c r="AT9" s="5">
        <v>147</v>
      </c>
      <c r="AU9" s="5">
        <v>41</v>
      </c>
      <c r="AV9" s="5">
        <v>0</v>
      </c>
      <c r="AW9" s="5">
        <v>68</v>
      </c>
      <c r="AX9" s="5">
        <v>2</v>
      </c>
      <c r="AY9" s="5">
        <v>4</v>
      </c>
      <c r="AZ9" s="5"/>
      <c r="BA9" s="5"/>
      <c r="BB9" s="5">
        <v>0.26</v>
      </c>
      <c r="BC9" s="5">
        <v>0</v>
      </c>
      <c r="BD9" s="5">
        <v>14</v>
      </c>
      <c r="BE9" s="20">
        <v>0.5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20"/>
      <c r="CC9" s="5">
        <v>4</v>
      </c>
      <c r="CD9" s="5">
        <v>333</v>
      </c>
      <c r="CE9" s="20">
        <v>12.6</v>
      </c>
      <c r="CF9" s="5">
        <v>50.3</v>
      </c>
      <c r="CG9" s="5">
        <v>1.1000000000000001</v>
      </c>
      <c r="CH9" s="5">
        <v>15.38</v>
      </c>
      <c r="CI9" s="5">
        <v>10.47</v>
      </c>
      <c r="CJ9" s="5">
        <v>0.2</v>
      </c>
      <c r="CK9" s="5">
        <v>5.99</v>
      </c>
      <c r="CL9" s="5">
        <v>6.93</v>
      </c>
      <c r="CM9" s="5">
        <v>3.46</v>
      </c>
      <c r="CN9" s="5">
        <v>0.81</v>
      </c>
      <c r="CO9" s="5">
        <v>0.2</v>
      </c>
      <c r="CP9" s="5">
        <v>916</v>
      </c>
      <c r="CQ9" s="5">
        <v>565</v>
      </c>
      <c r="CR9" s="5">
        <v>1462</v>
      </c>
      <c r="CS9" s="5">
        <v>1219</v>
      </c>
      <c r="CT9" s="5">
        <v>3.55</v>
      </c>
      <c r="CU9" s="20">
        <v>770</v>
      </c>
      <c r="CV9" s="5">
        <v>0.35</v>
      </c>
      <c r="CW9" s="5">
        <v>0.04</v>
      </c>
      <c r="CX9" s="5">
        <v>0.03</v>
      </c>
      <c r="CY9" s="5">
        <v>0.06</v>
      </c>
      <c r="CZ9" s="5">
        <v>0.01</v>
      </c>
      <c r="DA9" s="5">
        <v>0.05</v>
      </c>
      <c r="DB9" s="5">
        <v>0.06</v>
      </c>
      <c r="DC9" s="5">
        <v>0.04</v>
      </c>
      <c r="DD9" s="5">
        <v>0.02</v>
      </c>
      <c r="DE9" s="5">
        <v>0.01</v>
      </c>
      <c r="DF9" s="5">
        <v>41</v>
      </c>
      <c r="DG9" s="5">
        <v>37</v>
      </c>
      <c r="DH9" s="5">
        <v>117</v>
      </c>
      <c r="DI9" s="5">
        <v>56</v>
      </c>
      <c r="DJ9" s="5">
        <v>0.04</v>
      </c>
      <c r="DK9" s="20">
        <v>76</v>
      </c>
      <c r="DL9" s="5">
        <v>38.880000000000003</v>
      </c>
      <c r="DM9" s="5">
        <v>23.35</v>
      </c>
      <c r="DN9" s="5">
        <v>0.14000000000000001</v>
      </c>
      <c r="DO9" s="5">
        <v>38.93</v>
      </c>
      <c r="DP9" s="5">
        <v>0.36</v>
      </c>
      <c r="DQ9" s="20">
        <v>74.8</v>
      </c>
      <c r="DR9" s="5">
        <v>0.06</v>
      </c>
      <c r="DS9" s="5">
        <v>0.16</v>
      </c>
      <c r="DT9" s="5">
        <v>0.02</v>
      </c>
      <c r="DU9" s="5">
        <v>0.23</v>
      </c>
      <c r="DV9" s="5">
        <v>0.03</v>
      </c>
      <c r="DW9" s="20">
        <v>0.24</v>
      </c>
      <c r="DX9" s="5" t="s">
        <v>333</v>
      </c>
      <c r="DY9" s="5" t="s">
        <v>319</v>
      </c>
      <c r="DZ9" s="5" t="s">
        <v>326</v>
      </c>
      <c r="EA9" s="5" t="s">
        <v>321</v>
      </c>
      <c r="EB9" s="5">
        <v>100</v>
      </c>
      <c r="EC9" s="5">
        <v>90</v>
      </c>
      <c r="ED9" s="5" t="s">
        <v>3</v>
      </c>
      <c r="EE9" s="5" t="s">
        <v>3</v>
      </c>
      <c r="EF9" s="5"/>
      <c r="EG9" s="20"/>
      <c r="EH9" s="5" t="s">
        <v>331</v>
      </c>
      <c r="EI9" s="5" t="s">
        <v>328</v>
      </c>
      <c r="EJ9" s="5" t="s">
        <v>328</v>
      </c>
      <c r="EK9" s="5"/>
      <c r="EL9" s="5"/>
      <c r="EM9" s="21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4"/>
    </row>
    <row r="10" spans="1:181" ht="15.75" customHeight="1" x14ac:dyDescent="0.2">
      <c r="A10" s="4" t="s">
        <v>334</v>
      </c>
      <c r="B10" s="4" t="s">
        <v>1</v>
      </c>
      <c r="C10" s="4" t="s">
        <v>314</v>
      </c>
      <c r="D10" s="4" t="s">
        <v>324</v>
      </c>
      <c r="E10" s="5" t="s">
        <v>325</v>
      </c>
      <c r="F10" s="5" t="s">
        <v>317</v>
      </c>
      <c r="G10" s="5">
        <v>0.2</v>
      </c>
      <c r="H10" s="5">
        <v>0.01</v>
      </c>
      <c r="I10" s="4" t="s">
        <v>3</v>
      </c>
      <c r="J10" s="19" t="s">
        <v>3</v>
      </c>
      <c r="K10" s="5">
        <v>50.53</v>
      </c>
      <c r="L10" s="5">
        <v>1.21</v>
      </c>
      <c r="M10" s="5">
        <v>17.38</v>
      </c>
      <c r="N10" s="5">
        <v>3.39</v>
      </c>
      <c r="O10" s="5">
        <v>6.26</v>
      </c>
      <c r="P10" s="5">
        <v>0.3</v>
      </c>
      <c r="Q10" s="5">
        <v>2.94</v>
      </c>
      <c r="R10" s="5">
        <v>7.85</v>
      </c>
      <c r="S10" s="5">
        <v>3.86</v>
      </c>
      <c r="T10" s="5">
        <v>0.84</v>
      </c>
      <c r="U10" s="5">
        <v>0.23</v>
      </c>
      <c r="V10" s="5">
        <v>2128</v>
      </c>
      <c r="W10" s="5">
        <v>1378</v>
      </c>
      <c r="X10" s="5">
        <v>3.2</v>
      </c>
      <c r="Y10" s="5">
        <v>1389</v>
      </c>
      <c r="Z10" s="20">
        <v>98.5</v>
      </c>
      <c r="AA10" s="5">
        <v>1155</v>
      </c>
      <c r="AB10" s="5">
        <v>1006</v>
      </c>
      <c r="AC10" s="5"/>
      <c r="AD10" s="5"/>
      <c r="AE10" s="5">
        <v>-13</v>
      </c>
      <c r="AF10" s="5">
        <v>0.3</v>
      </c>
      <c r="AG10" s="5">
        <v>253</v>
      </c>
      <c r="AH10" s="20">
        <v>9.8000000000000007</v>
      </c>
      <c r="AI10" s="5">
        <v>0.2</v>
      </c>
      <c r="AJ10" s="5">
        <v>0.06</v>
      </c>
      <c r="AK10" s="5">
        <v>0.23</v>
      </c>
      <c r="AL10" s="5">
        <v>0.2</v>
      </c>
      <c r="AM10" s="5">
        <v>0.16</v>
      </c>
      <c r="AN10" s="5">
        <v>0.01</v>
      </c>
      <c r="AO10" s="5">
        <v>0.09</v>
      </c>
      <c r="AP10" s="5">
        <v>0.09</v>
      </c>
      <c r="AQ10" s="5">
        <v>0.09</v>
      </c>
      <c r="AR10" s="5">
        <v>0.03</v>
      </c>
      <c r="AS10" s="5">
        <v>0.01</v>
      </c>
      <c r="AT10" s="5">
        <v>285</v>
      </c>
      <c r="AU10" s="5">
        <v>38</v>
      </c>
      <c r="AV10" s="5">
        <v>0.2</v>
      </c>
      <c r="AW10" s="5">
        <v>466</v>
      </c>
      <c r="AX10" s="5">
        <v>9</v>
      </c>
      <c r="AY10" s="5">
        <v>6</v>
      </c>
      <c r="AZ10" s="5"/>
      <c r="BA10" s="5"/>
      <c r="BB10" s="5">
        <v>0.59</v>
      </c>
      <c r="BC10" s="5">
        <v>0</v>
      </c>
      <c r="BD10" s="5">
        <v>54</v>
      </c>
      <c r="BE10" s="20">
        <v>1.9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20"/>
      <c r="CC10" s="5">
        <v>4</v>
      </c>
      <c r="CD10" s="5">
        <v>432</v>
      </c>
      <c r="CE10" s="20">
        <v>16</v>
      </c>
      <c r="CF10" s="5">
        <v>48.15</v>
      </c>
      <c r="CG10" s="5">
        <v>1.03</v>
      </c>
      <c r="CH10" s="5">
        <v>14.8</v>
      </c>
      <c r="CI10" s="5">
        <v>12.98</v>
      </c>
      <c r="CJ10" s="5">
        <v>0.26</v>
      </c>
      <c r="CK10" s="5">
        <v>6.87</v>
      </c>
      <c r="CL10" s="5">
        <v>6.69</v>
      </c>
      <c r="CM10" s="5">
        <v>3.29</v>
      </c>
      <c r="CN10" s="5">
        <v>0.72</v>
      </c>
      <c r="CO10" s="5">
        <v>0.19</v>
      </c>
      <c r="CP10" s="5">
        <v>1135</v>
      </c>
      <c r="CQ10" s="5">
        <v>565</v>
      </c>
      <c r="CR10" s="5">
        <v>1813</v>
      </c>
      <c r="CS10" s="5">
        <v>1174</v>
      </c>
      <c r="CT10" s="5">
        <v>2.71</v>
      </c>
      <c r="CU10" s="20">
        <v>1183</v>
      </c>
      <c r="CV10" s="5">
        <v>0.18</v>
      </c>
      <c r="CW10" s="5">
        <v>0.05</v>
      </c>
      <c r="CX10" s="5">
        <v>0.19</v>
      </c>
      <c r="CY10" s="5">
        <v>0.18</v>
      </c>
      <c r="CZ10" s="5">
        <v>0.01</v>
      </c>
      <c r="DA10" s="5">
        <v>0.31</v>
      </c>
      <c r="DB10" s="5">
        <v>0.08</v>
      </c>
      <c r="DC10" s="5">
        <v>0.08</v>
      </c>
      <c r="DD10" s="5">
        <v>0.02</v>
      </c>
      <c r="DE10" s="5">
        <v>0.01</v>
      </c>
      <c r="DF10" s="5">
        <v>97</v>
      </c>
      <c r="DG10" s="5">
        <v>37</v>
      </c>
      <c r="DH10" s="5">
        <v>196</v>
      </c>
      <c r="DI10" s="5">
        <v>32</v>
      </c>
      <c r="DJ10" s="5">
        <v>0.24</v>
      </c>
      <c r="DK10" s="20">
        <v>398</v>
      </c>
      <c r="DL10" s="5">
        <v>38.33</v>
      </c>
      <c r="DM10" s="5">
        <v>24.59</v>
      </c>
      <c r="DN10" s="5">
        <v>0.14000000000000001</v>
      </c>
      <c r="DO10" s="5">
        <v>37.96</v>
      </c>
      <c r="DP10" s="5">
        <v>0.39</v>
      </c>
      <c r="DQ10" s="20">
        <v>73.3</v>
      </c>
      <c r="DR10" s="5">
        <v>0.02</v>
      </c>
      <c r="DS10" s="5">
        <v>0.14000000000000001</v>
      </c>
      <c r="DT10" s="5">
        <v>0.01</v>
      </c>
      <c r="DU10" s="5">
        <v>0.06</v>
      </c>
      <c r="DV10" s="5">
        <v>0.01</v>
      </c>
      <c r="DW10" s="20">
        <v>0.12</v>
      </c>
      <c r="DX10" s="5" t="s">
        <v>335</v>
      </c>
      <c r="DY10" s="5" t="s">
        <v>319</v>
      </c>
      <c r="DZ10" s="5" t="s">
        <v>326</v>
      </c>
      <c r="EA10" s="5" t="s">
        <v>321</v>
      </c>
      <c r="EB10" s="5">
        <v>100</v>
      </c>
      <c r="EC10" s="5">
        <v>30</v>
      </c>
      <c r="ED10" s="5" t="s">
        <v>3</v>
      </c>
      <c r="EE10" s="5" t="s">
        <v>3</v>
      </c>
      <c r="EF10" s="5"/>
      <c r="EG10" s="20"/>
      <c r="EH10" s="5" t="s">
        <v>336</v>
      </c>
      <c r="EI10" s="5" t="s">
        <v>328</v>
      </c>
      <c r="EJ10" s="5" t="s">
        <v>337</v>
      </c>
      <c r="EK10" s="5"/>
      <c r="EL10" s="5"/>
      <c r="EM10" s="21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4"/>
    </row>
    <row r="11" spans="1:181" ht="15.75" customHeight="1" x14ac:dyDescent="0.2">
      <c r="A11" s="4" t="s">
        <v>338</v>
      </c>
      <c r="B11" s="4" t="s">
        <v>1</v>
      </c>
      <c r="C11" s="4" t="s">
        <v>314</v>
      </c>
      <c r="D11" s="4" t="s">
        <v>324</v>
      </c>
      <c r="E11" s="5" t="s">
        <v>325</v>
      </c>
      <c r="F11" s="5" t="s">
        <v>317</v>
      </c>
      <c r="G11" s="5">
        <v>0.2</v>
      </c>
      <c r="H11" s="5">
        <v>0.01</v>
      </c>
      <c r="I11" s="4" t="s">
        <v>3</v>
      </c>
      <c r="J11" s="19" t="s">
        <v>3</v>
      </c>
      <c r="K11" s="5">
        <v>51.56</v>
      </c>
      <c r="L11" s="5">
        <v>1.36</v>
      </c>
      <c r="M11" s="5">
        <v>16.63</v>
      </c>
      <c r="N11" s="5">
        <v>3.52</v>
      </c>
      <c r="O11" s="5">
        <v>6.09</v>
      </c>
      <c r="P11" s="5">
        <v>0.28000000000000003</v>
      </c>
      <c r="Q11" s="5">
        <v>2.91</v>
      </c>
      <c r="R11" s="5">
        <v>7.7</v>
      </c>
      <c r="S11" s="5">
        <v>4.03</v>
      </c>
      <c r="T11" s="5">
        <v>0.86</v>
      </c>
      <c r="U11" s="5">
        <v>0.23</v>
      </c>
      <c r="V11" s="5">
        <v>2048</v>
      </c>
      <c r="W11" s="5">
        <v>1283</v>
      </c>
      <c r="X11" s="5">
        <v>4.9000000000000004</v>
      </c>
      <c r="Y11" s="5">
        <v>1357</v>
      </c>
      <c r="Z11" s="20">
        <v>100.6</v>
      </c>
      <c r="AA11" s="5">
        <v>1127</v>
      </c>
      <c r="AB11" s="5">
        <v>990</v>
      </c>
      <c r="AC11" s="5"/>
      <c r="AD11" s="5"/>
      <c r="AE11" s="5">
        <v>-12.5</v>
      </c>
      <c r="AF11" s="5">
        <v>0.31</v>
      </c>
      <c r="AG11" s="5">
        <v>398</v>
      </c>
      <c r="AH11" s="20">
        <v>14.8</v>
      </c>
      <c r="AI11" s="5">
        <v>0.2</v>
      </c>
      <c r="AJ11" s="5">
        <v>0.09</v>
      </c>
      <c r="AK11" s="5">
        <v>0.08</v>
      </c>
      <c r="AL11" s="5">
        <v>0.17</v>
      </c>
      <c r="AM11" s="5">
        <v>0.16</v>
      </c>
      <c r="AN11" s="5">
        <v>0.02</v>
      </c>
      <c r="AO11" s="5">
        <v>0.09</v>
      </c>
      <c r="AP11" s="5">
        <v>0.16</v>
      </c>
      <c r="AQ11" s="5">
        <v>0.08</v>
      </c>
      <c r="AR11" s="5">
        <v>0.02</v>
      </c>
      <c r="AS11" s="5">
        <v>0.01</v>
      </c>
      <c r="AT11" s="5">
        <v>139</v>
      </c>
      <c r="AU11" s="5">
        <v>69</v>
      </c>
      <c r="AV11" s="5">
        <v>0.1</v>
      </c>
      <c r="AW11" s="5">
        <v>163</v>
      </c>
      <c r="AX11" s="5">
        <v>2</v>
      </c>
      <c r="AY11" s="5">
        <v>6</v>
      </c>
      <c r="AZ11" s="5"/>
      <c r="BA11" s="5"/>
      <c r="BB11" s="5">
        <v>0.24</v>
      </c>
      <c r="BC11" s="5">
        <v>0</v>
      </c>
      <c r="BD11" s="5">
        <v>23</v>
      </c>
      <c r="BE11" s="20">
        <v>0.8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20"/>
      <c r="CC11" s="5">
        <v>4</v>
      </c>
      <c r="CD11" s="5">
        <v>435</v>
      </c>
      <c r="CE11" s="20">
        <v>16.100000000000001</v>
      </c>
      <c r="CF11" s="5">
        <v>49.05</v>
      </c>
      <c r="CG11" s="5">
        <v>1.1599999999999999</v>
      </c>
      <c r="CH11" s="5">
        <v>14.23</v>
      </c>
      <c r="CI11" s="5">
        <v>13.55</v>
      </c>
      <c r="CJ11" s="5">
        <v>0.24</v>
      </c>
      <c r="CK11" s="5">
        <v>6.38</v>
      </c>
      <c r="CL11" s="5">
        <v>6.59</v>
      </c>
      <c r="CM11" s="5">
        <v>3.45</v>
      </c>
      <c r="CN11" s="5">
        <v>0.74</v>
      </c>
      <c r="CO11" s="5">
        <v>0.19</v>
      </c>
      <c r="CP11" s="5">
        <v>1098</v>
      </c>
      <c r="CQ11" s="5">
        <v>565</v>
      </c>
      <c r="CR11" s="5">
        <v>1753</v>
      </c>
      <c r="CS11" s="5">
        <v>1098</v>
      </c>
      <c r="CT11" s="5">
        <v>4.21</v>
      </c>
      <c r="CU11" s="20">
        <v>1161</v>
      </c>
      <c r="CV11" s="5">
        <v>0.22</v>
      </c>
      <c r="CW11" s="5">
        <v>0.05</v>
      </c>
      <c r="CX11" s="5">
        <v>0.04</v>
      </c>
      <c r="CY11" s="5">
        <v>0.1</v>
      </c>
      <c r="CZ11" s="5">
        <v>0.01</v>
      </c>
      <c r="DA11" s="5">
        <v>0.05</v>
      </c>
      <c r="DB11" s="5">
        <v>0.13</v>
      </c>
      <c r="DC11" s="5">
        <v>7.0000000000000007E-2</v>
      </c>
      <c r="DD11" s="5">
        <v>0.01</v>
      </c>
      <c r="DE11" s="5">
        <v>0.01</v>
      </c>
      <c r="DF11" s="5">
        <v>34</v>
      </c>
      <c r="DG11" s="5">
        <v>37</v>
      </c>
      <c r="DH11" s="5">
        <v>128</v>
      </c>
      <c r="DI11" s="5">
        <v>56</v>
      </c>
      <c r="DJ11" s="5">
        <v>0.1</v>
      </c>
      <c r="DK11" s="20">
        <v>161</v>
      </c>
      <c r="DL11" s="5">
        <v>38.83</v>
      </c>
      <c r="DM11" s="5">
        <v>24.44</v>
      </c>
      <c r="DN11" s="5">
        <v>0.16</v>
      </c>
      <c r="DO11" s="5">
        <v>37.58</v>
      </c>
      <c r="DP11" s="5">
        <v>0.39</v>
      </c>
      <c r="DQ11" s="20">
        <v>73.3</v>
      </c>
      <c r="DR11" s="5">
        <v>0.22</v>
      </c>
      <c r="DS11" s="5">
        <v>0.17</v>
      </c>
      <c r="DT11" s="5">
        <v>0.01</v>
      </c>
      <c r="DU11" s="5">
        <v>0.35</v>
      </c>
      <c r="DV11" s="5">
        <v>0.02</v>
      </c>
      <c r="DW11" s="20">
        <v>0.32</v>
      </c>
      <c r="DX11" s="5" t="s">
        <v>333</v>
      </c>
      <c r="DY11" s="5" t="s">
        <v>319</v>
      </c>
      <c r="DZ11" s="5" t="s">
        <v>339</v>
      </c>
      <c r="EA11" s="5" t="s">
        <v>321</v>
      </c>
      <c r="EB11" s="5">
        <v>100</v>
      </c>
      <c r="EC11" s="5">
        <v>100</v>
      </c>
      <c r="ED11" s="5" t="s">
        <v>3</v>
      </c>
      <c r="EE11" s="5" t="s">
        <v>3</v>
      </c>
      <c r="EF11" s="5"/>
      <c r="EG11" s="20"/>
      <c r="EH11" s="5" t="s">
        <v>327</v>
      </c>
      <c r="EI11" s="5" t="s">
        <v>328</v>
      </c>
      <c r="EJ11" s="5" t="s">
        <v>328</v>
      </c>
      <c r="EK11" s="5"/>
      <c r="EL11" s="5"/>
      <c r="EM11" s="21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4"/>
    </row>
    <row r="12" spans="1:181" ht="15.75" customHeight="1" x14ac:dyDescent="0.2">
      <c r="A12" s="4" t="s">
        <v>340</v>
      </c>
      <c r="B12" s="4" t="s">
        <v>1</v>
      </c>
      <c r="C12" s="4" t="s">
        <v>314</v>
      </c>
      <c r="D12" s="4" t="s">
        <v>324</v>
      </c>
      <c r="E12" s="5" t="s">
        <v>325</v>
      </c>
      <c r="F12" s="5" t="s">
        <v>317</v>
      </c>
      <c r="G12" s="5">
        <v>0.2</v>
      </c>
      <c r="H12" s="5">
        <v>0.01</v>
      </c>
      <c r="I12" s="4" t="s">
        <v>3</v>
      </c>
      <c r="J12" s="19" t="s">
        <v>3</v>
      </c>
      <c r="K12" s="5">
        <v>51.39</v>
      </c>
      <c r="L12" s="5">
        <v>1.1599999999999999</v>
      </c>
      <c r="M12" s="5">
        <v>16.86</v>
      </c>
      <c r="N12" s="5">
        <v>2.86</v>
      </c>
      <c r="O12" s="5">
        <v>6.72</v>
      </c>
      <c r="P12" s="5">
        <v>0.26</v>
      </c>
      <c r="Q12" s="5">
        <v>3.41</v>
      </c>
      <c r="R12" s="5">
        <v>7.82</v>
      </c>
      <c r="S12" s="5">
        <v>3.4</v>
      </c>
      <c r="T12" s="5">
        <v>0.85</v>
      </c>
      <c r="U12" s="5">
        <v>0.21</v>
      </c>
      <c r="V12" s="5">
        <v>1804</v>
      </c>
      <c r="W12" s="5">
        <v>1290</v>
      </c>
      <c r="X12" s="5">
        <v>4.9000000000000004</v>
      </c>
      <c r="Y12" s="5">
        <v>859</v>
      </c>
      <c r="Z12" s="20">
        <v>100.2</v>
      </c>
      <c r="AA12" s="5">
        <v>1112</v>
      </c>
      <c r="AB12" s="5">
        <v>1008</v>
      </c>
      <c r="AC12" s="5"/>
      <c r="AD12" s="5"/>
      <c r="AE12" s="5">
        <v>-9.4</v>
      </c>
      <c r="AF12" s="5">
        <v>0.32</v>
      </c>
      <c r="AG12" s="5">
        <v>342</v>
      </c>
      <c r="AH12" s="20">
        <v>12.9</v>
      </c>
      <c r="AI12" s="5">
        <v>0.22</v>
      </c>
      <c r="AJ12" s="5">
        <v>0.05</v>
      </c>
      <c r="AK12" s="5">
        <v>0.13</v>
      </c>
      <c r="AL12" s="5">
        <v>0.14000000000000001</v>
      </c>
      <c r="AM12" s="5">
        <v>0.14000000000000001</v>
      </c>
      <c r="AN12" s="5">
        <v>0.01</v>
      </c>
      <c r="AO12" s="5">
        <v>0.09</v>
      </c>
      <c r="AP12" s="5">
        <v>0.04</v>
      </c>
      <c r="AQ12" s="5">
        <v>0.4</v>
      </c>
      <c r="AR12" s="5">
        <v>0.02</v>
      </c>
      <c r="AS12" s="5">
        <v>0.01</v>
      </c>
      <c r="AT12" s="5">
        <v>164</v>
      </c>
      <c r="AU12" s="5">
        <v>51</v>
      </c>
      <c r="AV12" s="5">
        <v>0.1</v>
      </c>
      <c r="AW12" s="5">
        <v>119</v>
      </c>
      <c r="AX12" s="5">
        <v>3</v>
      </c>
      <c r="AY12" s="5">
        <v>4</v>
      </c>
      <c r="AZ12" s="5"/>
      <c r="BA12" s="5"/>
      <c r="BB12" s="5">
        <v>0.28000000000000003</v>
      </c>
      <c r="BC12" s="5">
        <v>0.01</v>
      </c>
      <c r="BD12" s="5">
        <v>21</v>
      </c>
      <c r="BE12" s="20">
        <v>0.7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20"/>
      <c r="CC12" s="5">
        <v>4.4000000000000004</v>
      </c>
      <c r="CD12" s="5">
        <v>375</v>
      </c>
      <c r="CE12" s="20">
        <v>14</v>
      </c>
      <c r="CF12" s="5">
        <v>49.83</v>
      </c>
      <c r="CG12" s="5">
        <v>1.04</v>
      </c>
      <c r="CH12" s="5">
        <v>15.14</v>
      </c>
      <c r="CI12" s="5">
        <v>11.54</v>
      </c>
      <c r="CJ12" s="5">
        <v>0.23</v>
      </c>
      <c r="CK12" s="5">
        <v>6.36</v>
      </c>
      <c r="CL12" s="5">
        <v>7.03</v>
      </c>
      <c r="CM12" s="5">
        <v>3.06</v>
      </c>
      <c r="CN12" s="5">
        <v>0.76</v>
      </c>
      <c r="CO12" s="5">
        <v>0.19</v>
      </c>
      <c r="CP12" s="5">
        <v>1015</v>
      </c>
      <c r="CQ12" s="5">
        <v>565</v>
      </c>
      <c r="CR12" s="5">
        <v>1620</v>
      </c>
      <c r="CS12" s="5">
        <v>1159</v>
      </c>
      <c r="CT12" s="5">
        <v>4.38</v>
      </c>
      <c r="CU12" s="20">
        <v>772</v>
      </c>
      <c r="CV12" s="5">
        <v>0.22</v>
      </c>
      <c r="CW12" s="5">
        <v>0.04</v>
      </c>
      <c r="CX12" s="5">
        <v>0.13</v>
      </c>
      <c r="CY12" s="5">
        <v>0.16</v>
      </c>
      <c r="CZ12" s="5">
        <v>0.01</v>
      </c>
      <c r="DA12" s="5">
        <v>0.05</v>
      </c>
      <c r="DB12" s="5">
        <v>0.02</v>
      </c>
      <c r="DC12" s="5">
        <v>0.38</v>
      </c>
      <c r="DD12" s="5">
        <v>0.01</v>
      </c>
      <c r="DE12" s="5">
        <v>0.01</v>
      </c>
      <c r="DF12" s="5">
        <v>50</v>
      </c>
      <c r="DG12" s="5">
        <v>37</v>
      </c>
      <c r="DH12" s="5">
        <v>134</v>
      </c>
      <c r="DI12" s="5">
        <v>46</v>
      </c>
      <c r="DJ12" s="5">
        <v>0.1</v>
      </c>
      <c r="DK12" s="20">
        <v>104</v>
      </c>
      <c r="DL12" s="5">
        <v>38.64</v>
      </c>
      <c r="DM12" s="5">
        <v>24.16</v>
      </c>
      <c r="DN12" s="5">
        <v>0.17</v>
      </c>
      <c r="DO12" s="5">
        <v>38.25</v>
      </c>
      <c r="DP12" s="5">
        <v>0.4</v>
      </c>
      <c r="DQ12" s="20">
        <v>73.8</v>
      </c>
      <c r="DR12" s="5">
        <v>0.04</v>
      </c>
      <c r="DS12" s="5">
        <v>7.0000000000000007E-2</v>
      </c>
      <c r="DT12" s="5">
        <v>0.01</v>
      </c>
      <c r="DU12" s="5">
        <v>0.06</v>
      </c>
      <c r="DV12" s="5">
        <v>0.02</v>
      </c>
      <c r="DW12" s="20">
        <v>7.0000000000000007E-2</v>
      </c>
      <c r="DX12" s="5"/>
      <c r="DY12" s="5"/>
      <c r="DZ12" s="5"/>
      <c r="EA12" s="5"/>
      <c r="EB12" s="5"/>
      <c r="EC12" s="5"/>
      <c r="ED12" s="5"/>
      <c r="EE12" s="5" t="s">
        <v>3</v>
      </c>
      <c r="EF12" s="5"/>
      <c r="EG12" s="20"/>
      <c r="EH12" s="5"/>
      <c r="EI12" s="5"/>
      <c r="EJ12" s="5"/>
      <c r="EK12" s="5"/>
      <c r="EL12" s="5"/>
      <c r="EM12" s="21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4"/>
    </row>
    <row r="13" spans="1:181" ht="15.75" customHeight="1" x14ac:dyDescent="0.2">
      <c r="A13" s="4" t="s">
        <v>341</v>
      </c>
      <c r="B13" s="4" t="s">
        <v>1</v>
      </c>
      <c r="C13" s="4" t="s">
        <v>314</v>
      </c>
      <c r="D13" s="4" t="s">
        <v>324</v>
      </c>
      <c r="E13" s="5" t="s">
        <v>325</v>
      </c>
      <c r="F13" s="5" t="s">
        <v>317</v>
      </c>
      <c r="G13" s="5">
        <v>0.2</v>
      </c>
      <c r="H13" s="5">
        <v>0.01</v>
      </c>
      <c r="I13" s="4" t="s">
        <v>3</v>
      </c>
      <c r="J13" s="19" t="s">
        <v>3</v>
      </c>
      <c r="K13" s="5">
        <v>49.33</v>
      </c>
      <c r="L13" s="5">
        <v>0.84</v>
      </c>
      <c r="M13" s="5">
        <v>19.8</v>
      </c>
      <c r="N13" s="5">
        <v>2.73</v>
      </c>
      <c r="O13" s="5">
        <v>7.04</v>
      </c>
      <c r="P13" s="5">
        <v>0.24</v>
      </c>
      <c r="Q13" s="5">
        <v>3.42</v>
      </c>
      <c r="R13" s="5">
        <v>9.9700000000000006</v>
      </c>
      <c r="S13" s="5">
        <v>2.98</v>
      </c>
      <c r="T13" s="5">
        <v>0.56000000000000005</v>
      </c>
      <c r="U13" s="5">
        <v>0.14000000000000001</v>
      </c>
      <c r="V13" s="5">
        <v>1373</v>
      </c>
      <c r="W13" s="5">
        <v>818</v>
      </c>
      <c r="X13" s="5">
        <v>2.8</v>
      </c>
      <c r="Y13" s="5">
        <v>824</v>
      </c>
      <c r="Z13" s="20">
        <v>100.2</v>
      </c>
      <c r="AA13" s="5">
        <v>1131</v>
      </c>
      <c r="AB13" s="5">
        <v>1016</v>
      </c>
      <c r="AC13" s="5"/>
      <c r="AD13" s="5"/>
      <c r="AE13" s="5">
        <v>-9.6999999999999993</v>
      </c>
      <c r="AF13" s="5">
        <v>0.31</v>
      </c>
      <c r="AG13" s="5">
        <v>183</v>
      </c>
      <c r="AH13" s="20">
        <v>7.3</v>
      </c>
      <c r="AI13" s="5">
        <v>0.43</v>
      </c>
      <c r="AJ13" s="5">
        <v>0.05</v>
      </c>
      <c r="AK13" s="5">
        <v>0.19</v>
      </c>
      <c r="AL13" s="5">
        <v>0.15</v>
      </c>
      <c r="AM13" s="5">
        <v>0.16</v>
      </c>
      <c r="AN13" s="5">
        <v>0.01</v>
      </c>
      <c r="AO13" s="5">
        <v>0.08</v>
      </c>
      <c r="AP13" s="5">
        <v>0.09</v>
      </c>
      <c r="AQ13" s="5">
        <v>0.3</v>
      </c>
      <c r="AR13" s="5">
        <v>0.02</v>
      </c>
      <c r="AS13" s="5">
        <v>0.01</v>
      </c>
      <c r="AT13" s="5">
        <v>117</v>
      </c>
      <c r="AU13" s="5">
        <v>24</v>
      </c>
      <c r="AV13" s="5">
        <v>0</v>
      </c>
      <c r="AW13" s="5">
        <v>42</v>
      </c>
      <c r="AX13" s="5">
        <v>5</v>
      </c>
      <c r="AY13" s="5">
        <v>4</v>
      </c>
      <c r="AZ13" s="5"/>
      <c r="BA13" s="5"/>
      <c r="BB13" s="5">
        <v>0.57999999999999996</v>
      </c>
      <c r="BC13" s="5">
        <v>0</v>
      </c>
      <c r="BD13" s="5">
        <v>13</v>
      </c>
      <c r="BE13" s="20">
        <v>0.5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20"/>
      <c r="CC13" s="5">
        <v>4.4000000000000004</v>
      </c>
      <c r="CD13" s="5">
        <v>368</v>
      </c>
      <c r="CE13" s="20">
        <v>13.8</v>
      </c>
      <c r="CF13" s="5">
        <v>48.16</v>
      </c>
      <c r="CG13" s="5">
        <v>0.76</v>
      </c>
      <c r="CH13" s="5">
        <v>17.809999999999999</v>
      </c>
      <c r="CI13" s="5">
        <v>11.05</v>
      </c>
      <c r="CJ13" s="5">
        <v>0.21</v>
      </c>
      <c r="CK13" s="5">
        <v>6.81</v>
      </c>
      <c r="CL13" s="5">
        <v>8.9700000000000006</v>
      </c>
      <c r="CM13" s="5">
        <v>2.68</v>
      </c>
      <c r="CN13" s="5">
        <v>0.51</v>
      </c>
      <c r="CO13" s="5">
        <v>0.13</v>
      </c>
      <c r="CP13" s="5">
        <v>774</v>
      </c>
      <c r="CQ13" s="5">
        <v>565</v>
      </c>
      <c r="CR13" s="5">
        <v>1235</v>
      </c>
      <c r="CS13" s="5">
        <v>736</v>
      </c>
      <c r="CT13" s="5">
        <v>2.5299999999999998</v>
      </c>
      <c r="CU13" s="20">
        <v>741</v>
      </c>
      <c r="CV13" s="5">
        <v>0.43</v>
      </c>
      <c r="CW13" s="5">
        <v>0.04</v>
      </c>
      <c r="CX13" s="5">
        <v>0.14000000000000001</v>
      </c>
      <c r="CY13" s="5">
        <v>0.17</v>
      </c>
      <c r="CZ13" s="5">
        <v>0.01</v>
      </c>
      <c r="DA13" s="5">
        <v>0.21</v>
      </c>
      <c r="DB13" s="5">
        <v>0.06</v>
      </c>
      <c r="DC13" s="5">
        <v>0.24</v>
      </c>
      <c r="DD13" s="5">
        <v>0.01</v>
      </c>
      <c r="DE13" s="5">
        <v>0.01</v>
      </c>
      <c r="DF13" s="5">
        <v>36</v>
      </c>
      <c r="DG13" s="5">
        <v>37</v>
      </c>
      <c r="DH13" s="5">
        <v>99</v>
      </c>
      <c r="DI13" s="5">
        <v>22</v>
      </c>
      <c r="DJ13" s="5">
        <v>0.04</v>
      </c>
      <c r="DK13" s="20">
        <v>33</v>
      </c>
      <c r="DL13" s="5">
        <v>38.76</v>
      </c>
      <c r="DM13" s="5">
        <v>24.53</v>
      </c>
      <c r="DN13" s="5">
        <v>0.14000000000000001</v>
      </c>
      <c r="DO13" s="5">
        <v>38.159999999999997</v>
      </c>
      <c r="DP13" s="5">
        <v>0.36</v>
      </c>
      <c r="DQ13" s="20">
        <v>73.5</v>
      </c>
      <c r="DR13" s="5">
        <v>7.0000000000000007E-2</v>
      </c>
      <c r="DS13" s="5">
        <v>0.17</v>
      </c>
      <c r="DT13" s="5">
        <v>0.01</v>
      </c>
      <c r="DU13" s="5">
        <v>0.16</v>
      </c>
      <c r="DV13" s="5">
        <v>0.01</v>
      </c>
      <c r="DW13" s="20">
        <v>0.17</v>
      </c>
      <c r="DX13" s="5" t="s">
        <v>333</v>
      </c>
      <c r="DY13" s="5" t="s">
        <v>319</v>
      </c>
      <c r="DZ13" s="5" t="s">
        <v>342</v>
      </c>
      <c r="EA13" s="5" t="s">
        <v>321</v>
      </c>
      <c r="EB13" s="5">
        <v>90</v>
      </c>
      <c r="EC13" s="5">
        <v>90</v>
      </c>
      <c r="ED13" s="5" t="s">
        <v>3</v>
      </c>
      <c r="EE13" s="5" t="s">
        <v>3</v>
      </c>
      <c r="EF13" s="5"/>
      <c r="EG13" s="20"/>
      <c r="EH13" s="5" t="s">
        <v>331</v>
      </c>
      <c r="EI13" s="5" t="s">
        <v>328</v>
      </c>
      <c r="EJ13" s="5" t="s">
        <v>328</v>
      </c>
      <c r="EK13" s="5"/>
      <c r="EL13" s="5"/>
      <c r="EM13" s="21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4"/>
    </row>
    <row r="14" spans="1:181" ht="15" x14ac:dyDescent="0.2">
      <c r="A14" s="4" t="s">
        <v>343</v>
      </c>
      <c r="B14" s="4" t="s">
        <v>1</v>
      </c>
      <c r="C14" s="4" t="s">
        <v>314</v>
      </c>
      <c r="D14" s="4" t="s">
        <v>324</v>
      </c>
      <c r="E14" s="5" t="s">
        <v>325</v>
      </c>
      <c r="F14" s="5" t="s">
        <v>317</v>
      </c>
      <c r="G14" s="5">
        <v>0.2</v>
      </c>
      <c r="H14" s="5">
        <v>0.01</v>
      </c>
      <c r="I14" s="4" t="s">
        <v>3</v>
      </c>
      <c r="J14" s="19" t="s">
        <v>3</v>
      </c>
      <c r="K14" s="5">
        <v>46.81</v>
      </c>
      <c r="L14" s="5">
        <v>1.01</v>
      </c>
      <c r="M14" s="5">
        <v>18.600000000000001</v>
      </c>
      <c r="N14" s="5">
        <v>2.63</v>
      </c>
      <c r="O14" s="5">
        <v>7.77</v>
      </c>
      <c r="P14" s="5">
        <v>0.21</v>
      </c>
      <c r="Q14" s="5">
        <v>5.0599999999999996</v>
      </c>
      <c r="R14" s="5">
        <v>9.49</v>
      </c>
      <c r="S14" s="5">
        <v>2.4300000000000002</v>
      </c>
      <c r="T14" s="5">
        <v>0.52</v>
      </c>
      <c r="U14" s="5">
        <v>0.15</v>
      </c>
      <c r="V14" s="5">
        <v>1910</v>
      </c>
      <c r="W14" s="5">
        <v>1057</v>
      </c>
      <c r="X14" s="5">
        <v>4</v>
      </c>
      <c r="Y14" s="5">
        <v>1386</v>
      </c>
      <c r="Z14" s="20">
        <v>99.1</v>
      </c>
      <c r="AA14" s="5">
        <v>1108</v>
      </c>
      <c r="AB14" s="5">
        <v>1063</v>
      </c>
      <c r="AC14" s="5"/>
      <c r="AD14" s="5"/>
      <c r="AE14" s="5">
        <v>-4.5999999999999996</v>
      </c>
      <c r="AF14" s="5">
        <v>0.32</v>
      </c>
      <c r="AG14" s="5">
        <v>285</v>
      </c>
      <c r="AH14" s="20">
        <v>10.9</v>
      </c>
      <c r="AI14" s="5">
        <v>0.09</v>
      </c>
      <c r="AJ14" s="5">
        <v>7.0000000000000007E-2</v>
      </c>
      <c r="AK14" s="5">
        <v>0.52</v>
      </c>
      <c r="AL14" s="5">
        <v>0.12</v>
      </c>
      <c r="AM14" s="5">
        <v>0.16</v>
      </c>
      <c r="AN14" s="5">
        <v>0</v>
      </c>
      <c r="AO14" s="5">
        <v>0.14000000000000001</v>
      </c>
      <c r="AP14" s="5">
        <v>0.11</v>
      </c>
      <c r="AQ14" s="5">
        <v>0.41</v>
      </c>
      <c r="AR14" s="5">
        <v>0.01</v>
      </c>
      <c r="AS14" s="5">
        <v>0</v>
      </c>
      <c r="AT14" s="5">
        <v>163</v>
      </c>
      <c r="AU14" s="5">
        <v>6</v>
      </c>
      <c r="AV14" s="5">
        <v>0.2</v>
      </c>
      <c r="AW14" s="5">
        <v>239</v>
      </c>
      <c r="AX14" s="5">
        <v>5</v>
      </c>
      <c r="AY14" s="5">
        <v>5</v>
      </c>
      <c r="AZ14" s="5"/>
      <c r="BA14" s="5"/>
      <c r="BB14" s="5">
        <v>0.53</v>
      </c>
      <c r="BC14" s="5">
        <v>0</v>
      </c>
      <c r="BD14" s="5">
        <v>24</v>
      </c>
      <c r="BE14" s="20">
        <v>0.9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20"/>
      <c r="CC14" s="5">
        <v>4</v>
      </c>
      <c r="CD14" s="5">
        <v>323</v>
      </c>
      <c r="CE14" s="20">
        <v>12.2</v>
      </c>
      <c r="CF14" s="5">
        <v>46.24</v>
      </c>
      <c r="CG14" s="5">
        <v>0.96</v>
      </c>
      <c r="CH14" s="5">
        <v>17.66</v>
      </c>
      <c r="CI14" s="5">
        <v>11.22</v>
      </c>
      <c r="CJ14" s="5">
        <v>0.2</v>
      </c>
      <c r="CK14" s="5">
        <v>6.42</v>
      </c>
      <c r="CL14" s="5">
        <v>9.01</v>
      </c>
      <c r="CM14" s="5">
        <v>2.2999999999999998</v>
      </c>
      <c r="CN14" s="5">
        <v>0.5</v>
      </c>
      <c r="CO14" s="5">
        <v>0.14000000000000001</v>
      </c>
      <c r="CP14" s="5">
        <v>1136</v>
      </c>
      <c r="CQ14" s="5">
        <v>565</v>
      </c>
      <c r="CR14" s="5">
        <v>1813</v>
      </c>
      <c r="CS14" s="5">
        <v>1003</v>
      </c>
      <c r="CT14" s="5">
        <v>3.77</v>
      </c>
      <c r="CU14" s="20">
        <v>1316</v>
      </c>
      <c r="CV14" s="5">
        <v>0.08</v>
      </c>
      <c r="CW14" s="5">
        <v>0.06</v>
      </c>
      <c r="CX14" s="5">
        <v>0.49</v>
      </c>
      <c r="CY14" s="5">
        <v>0.05</v>
      </c>
      <c r="CZ14" s="5">
        <v>0</v>
      </c>
      <c r="DA14" s="5">
        <v>0.2</v>
      </c>
      <c r="DB14" s="5">
        <v>0.1</v>
      </c>
      <c r="DC14" s="5">
        <v>0.45</v>
      </c>
      <c r="DD14" s="5">
        <v>0.01</v>
      </c>
      <c r="DE14" s="5">
        <v>0</v>
      </c>
      <c r="DF14" s="5">
        <v>50</v>
      </c>
      <c r="DG14" s="5">
        <v>37</v>
      </c>
      <c r="DH14" s="5">
        <v>144</v>
      </c>
      <c r="DI14" s="5">
        <v>1</v>
      </c>
      <c r="DJ14" s="5">
        <v>0.16</v>
      </c>
      <c r="DK14" s="20">
        <v>226</v>
      </c>
      <c r="DL14" s="5">
        <v>39.14</v>
      </c>
      <c r="DM14" s="5">
        <v>20.53</v>
      </c>
      <c r="DN14" s="5">
        <v>0.14000000000000001</v>
      </c>
      <c r="DO14" s="5">
        <v>41.8</v>
      </c>
      <c r="DP14" s="5">
        <v>0.28000000000000003</v>
      </c>
      <c r="DQ14" s="20">
        <v>78.400000000000006</v>
      </c>
      <c r="DR14" s="5">
        <v>0.05</v>
      </c>
      <c r="DS14" s="5">
        <v>0.25</v>
      </c>
      <c r="DT14" s="5">
        <v>0.03</v>
      </c>
      <c r="DU14" s="5">
        <v>0.19</v>
      </c>
      <c r="DV14" s="5">
        <v>0.02</v>
      </c>
      <c r="DW14" s="20">
        <v>0.27</v>
      </c>
      <c r="DX14" s="5"/>
      <c r="DY14" s="5"/>
      <c r="DZ14" s="5"/>
      <c r="EA14" s="5"/>
      <c r="EB14" s="5"/>
      <c r="EC14" s="5"/>
      <c r="ED14" s="5"/>
      <c r="EE14" s="5" t="s">
        <v>322</v>
      </c>
      <c r="EF14" s="5"/>
      <c r="EG14" s="20"/>
      <c r="EH14" s="5"/>
      <c r="EI14" s="5"/>
      <c r="EJ14" s="5"/>
      <c r="EK14" s="5"/>
      <c r="EL14" s="5"/>
      <c r="EM14" s="21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4"/>
    </row>
    <row r="15" spans="1:181" ht="15" x14ac:dyDescent="0.2">
      <c r="A15" s="4" t="s">
        <v>344</v>
      </c>
      <c r="B15" s="4" t="s">
        <v>1</v>
      </c>
      <c r="C15" s="4" t="s">
        <v>314</v>
      </c>
      <c r="D15" s="4" t="s">
        <v>345</v>
      </c>
      <c r="E15" s="5" t="s">
        <v>325</v>
      </c>
      <c r="F15" s="5" t="s">
        <v>346</v>
      </c>
      <c r="G15" s="5">
        <v>0.2</v>
      </c>
      <c r="H15" s="5">
        <v>0.01</v>
      </c>
      <c r="I15" s="4" t="s">
        <v>3</v>
      </c>
      <c r="J15" s="19" t="s">
        <v>3</v>
      </c>
      <c r="K15" s="5">
        <v>50.31</v>
      </c>
      <c r="L15" s="5">
        <v>1.19</v>
      </c>
      <c r="M15" s="5">
        <v>17.59</v>
      </c>
      <c r="N15" s="5">
        <v>3.44</v>
      </c>
      <c r="O15" s="5">
        <v>6.26</v>
      </c>
      <c r="P15" s="5">
        <v>0.31</v>
      </c>
      <c r="Q15" s="5">
        <v>2.99</v>
      </c>
      <c r="R15" s="5">
        <v>8.16</v>
      </c>
      <c r="S15" s="5">
        <v>3.71</v>
      </c>
      <c r="T15" s="5">
        <v>0.81</v>
      </c>
      <c r="U15" s="5">
        <v>0.22</v>
      </c>
      <c r="V15" s="5">
        <v>2003</v>
      </c>
      <c r="W15" s="5">
        <v>1329</v>
      </c>
      <c r="X15" s="5">
        <v>3.8</v>
      </c>
      <c r="Y15" s="5">
        <v>988</v>
      </c>
      <c r="Z15" s="20">
        <v>99.2</v>
      </c>
      <c r="AA15" s="5">
        <v>1137</v>
      </c>
      <c r="AB15" s="5">
        <v>996</v>
      </c>
      <c r="AC15" s="5"/>
      <c r="AD15" s="5"/>
      <c r="AE15" s="5">
        <v>-12.6</v>
      </c>
      <c r="AF15" s="5">
        <v>0.31</v>
      </c>
      <c r="AG15" s="5">
        <v>235</v>
      </c>
      <c r="AH15" s="20">
        <v>9.1</v>
      </c>
      <c r="AI15" s="5">
        <v>0.2</v>
      </c>
      <c r="AJ15" s="5">
        <v>0.03</v>
      </c>
      <c r="AK15" s="5">
        <v>0.18</v>
      </c>
      <c r="AL15" s="5">
        <v>0.19</v>
      </c>
      <c r="AM15" s="5">
        <v>0.16</v>
      </c>
      <c r="AN15" s="5">
        <v>0.01</v>
      </c>
      <c r="AO15" s="5">
        <v>0.09</v>
      </c>
      <c r="AP15" s="5">
        <v>0.12</v>
      </c>
      <c r="AQ15" s="5">
        <v>0.28000000000000003</v>
      </c>
      <c r="AR15" s="5">
        <v>0.01</v>
      </c>
      <c r="AS15" s="5">
        <v>0.01</v>
      </c>
      <c r="AT15" s="5">
        <v>167</v>
      </c>
      <c r="AU15" s="5">
        <v>38</v>
      </c>
      <c r="AV15" s="5">
        <v>0.1</v>
      </c>
      <c r="AW15" s="5">
        <v>173</v>
      </c>
      <c r="AX15" s="5">
        <v>5</v>
      </c>
      <c r="AY15" s="5">
        <v>6</v>
      </c>
      <c r="AZ15" s="5"/>
      <c r="BA15" s="5"/>
      <c r="BB15" s="5">
        <v>0.53</v>
      </c>
      <c r="BC15" s="5">
        <v>0</v>
      </c>
      <c r="BD15" s="5">
        <v>23</v>
      </c>
      <c r="BE15" s="20">
        <v>0.8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20"/>
      <c r="CC15" s="5">
        <v>4.0999999999999996</v>
      </c>
      <c r="CD15" s="5">
        <v>374</v>
      </c>
      <c r="CE15" s="20">
        <v>14</v>
      </c>
      <c r="CF15" s="5">
        <v>47.99</v>
      </c>
      <c r="CG15" s="5">
        <v>1.02</v>
      </c>
      <c r="CH15" s="5">
        <v>15.05</v>
      </c>
      <c r="CI15" s="5">
        <v>13.25</v>
      </c>
      <c r="CJ15" s="5">
        <v>0.27</v>
      </c>
      <c r="CK15" s="5">
        <v>6.63</v>
      </c>
      <c r="CL15" s="5">
        <v>6.98</v>
      </c>
      <c r="CM15" s="5">
        <v>3.17</v>
      </c>
      <c r="CN15" s="5">
        <v>0.69</v>
      </c>
      <c r="CO15" s="5">
        <v>0.19</v>
      </c>
      <c r="CP15" s="5">
        <v>1074</v>
      </c>
      <c r="CQ15" s="5">
        <v>565</v>
      </c>
      <c r="CR15" s="5">
        <v>1714</v>
      </c>
      <c r="CS15" s="5">
        <v>1137</v>
      </c>
      <c r="CT15" s="5">
        <v>3.27</v>
      </c>
      <c r="CU15" s="20">
        <v>845</v>
      </c>
      <c r="CV15" s="5">
        <v>0.19</v>
      </c>
      <c r="CW15" s="5">
        <v>0.03</v>
      </c>
      <c r="CX15" s="5">
        <v>0.17</v>
      </c>
      <c r="CY15" s="5">
        <v>0.15</v>
      </c>
      <c r="CZ15" s="5">
        <v>0.01</v>
      </c>
      <c r="DA15" s="5">
        <v>0.24</v>
      </c>
      <c r="DB15" s="5">
        <v>0.09</v>
      </c>
      <c r="DC15" s="5">
        <v>0.23</v>
      </c>
      <c r="DD15" s="5">
        <v>0</v>
      </c>
      <c r="DE15" s="5">
        <v>0.01</v>
      </c>
      <c r="DF15" s="5">
        <v>70</v>
      </c>
      <c r="DG15" s="5">
        <v>37</v>
      </c>
      <c r="DH15" s="5">
        <v>159</v>
      </c>
      <c r="DI15" s="5">
        <v>38</v>
      </c>
      <c r="DJ15" s="5">
        <v>0.09</v>
      </c>
      <c r="DK15" s="20">
        <v>131</v>
      </c>
      <c r="DL15" s="5">
        <v>38.49</v>
      </c>
      <c r="DM15" s="5">
        <v>24.49</v>
      </c>
      <c r="DN15" s="5">
        <v>0.14000000000000001</v>
      </c>
      <c r="DO15" s="5">
        <v>38.1</v>
      </c>
      <c r="DP15" s="5">
        <v>0.41</v>
      </c>
      <c r="DQ15" s="20">
        <v>73.5</v>
      </c>
      <c r="DR15" s="5">
        <v>0.14000000000000001</v>
      </c>
      <c r="DS15" s="5">
        <v>0.18</v>
      </c>
      <c r="DT15" s="5">
        <v>0.02</v>
      </c>
      <c r="DU15" s="5">
        <v>0.1</v>
      </c>
      <c r="DV15" s="5">
        <v>0.02</v>
      </c>
      <c r="DW15" s="20">
        <v>0.15</v>
      </c>
      <c r="DX15" s="5"/>
      <c r="DY15" s="5"/>
      <c r="DZ15" s="5"/>
      <c r="EA15" s="5"/>
      <c r="EB15" s="5"/>
      <c r="EC15" s="5"/>
      <c r="ED15" s="5"/>
      <c r="EE15" s="5" t="s">
        <v>3</v>
      </c>
      <c r="EF15" s="5"/>
      <c r="EG15" s="20"/>
      <c r="EH15" s="5"/>
      <c r="EI15" s="5"/>
      <c r="EJ15" s="5"/>
      <c r="EK15" s="5"/>
      <c r="EL15" s="5"/>
      <c r="EM15" s="21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4"/>
    </row>
    <row r="16" spans="1:181" ht="15" x14ac:dyDescent="0.2">
      <c r="A16" s="4" t="s">
        <v>347</v>
      </c>
      <c r="B16" s="4" t="s">
        <v>1</v>
      </c>
      <c r="C16" s="4" t="s">
        <v>314</v>
      </c>
      <c r="D16" s="4" t="s">
        <v>345</v>
      </c>
      <c r="E16" s="5" t="s">
        <v>325</v>
      </c>
      <c r="F16" s="5" t="s">
        <v>346</v>
      </c>
      <c r="G16" s="5">
        <v>0.2</v>
      </c>
      <c r="H16" s="5">
        <v>0.01</v>
      </c>
      <c r="I16" s="4" t="s">
        <v>3</v>
      </c>
      <c r="J16" s="19" t="s">
        <v>3</v>
      </c>
      <c r="K16" s="5">
        <v>49.98</v>
      </c>
      <c r="L16" s="5">
        <v>1.19</v>
      </c>
      <c r="M16" s="5">
        <v>17.350000000000001</v>
      </c>
      <c r="N16" s="5">
        <v>3.51</v>
      </c>
      <c r="O16" s="5">
        <v>6.06</v>
      </c>
      <c r="P16" s="5">
        <v>0.33</v>
      </c>
      <c r="Q16" s="5">
        <v>2.92</v>
      </c>
      <c r="R16" s="5">
        <v>8.51</v>
      </c>
      <c r="S16" s="5">
        <v>3.61</v>
      </c>
      <c r="T16" s="5">
        <v>0.79</v>
      </c>
      <c r="U16" s="5">
        <v>0.21</v>
      </c>
      <c r="V16" s="5">
        <v>1911</v>
      </c>
      <c r="W16" s="5">
        <v>1242</v>
      </c>
      <c r="X16" s="5">
        <v>3.7</v>
      </c>
      <c r="Y16" s="5">
        <v>1018</v>
      </c>
      <c r="Z16" s="20">
        <v>98.6</v>
      </c>
      <c r="AA16" s="5">
        <v>1144</v>
      </c>
      <c r="AB16" s="5">
        <v>992</v>
      </c>
      <c r="AC16" s="5"/>
      <c r="AD16" s="5"/>
      <c r="AE16" s="5">
        <v>-13.4</v>
      </c>
      <c r="AF16" s="5">
        <v>0.31</v>
      </c>
      <c r="AG16" s="5">
        <v>216</v>
      </c>
      <c r="AH16" s="20">
        <v>8.4</v>
      </c>
      <c r="AI16" s="5">
        <v>0.28000000000000003</v>
      </c>
      <c r="AJ16" s="5">
        <v>0.02</v>
      </c>
      <c r="AK16" s="5">
        <v>0.08</v>
      </c>
      <c r="AL16" s="5">
        <v>0.17</v>
      </c>
      <c r="AM16" s="5">
        <v>0.17</v>
      </c>
      <c r="AN16" s="5">
        <v>0</v>
      </c>
      <c r="AO16" s="5">
        <v>0.09</v>
      </c>
      <c r="AP16" s="5">
        <v>0.09</v>
      </c>
      <c r="AQ16" s="5">
        <v>0.23</v>
      </c>
      <c r="AR16" s="5">
        <v>0.02</v>
      </c>
      <c r="AS16" s="5">
        <v>0.01</v>
      </c>
      <c r="AT16" s="5">
        <v>146</v>
      </c>
      <c r="AU16" s="5">
        <v>14</v>
      </c>
      <c r="AV16" s="5">
        <v>0.1</v>
      </c>
      <c r="AW16" s="5">
        <v>430</v>
      </c>
      <c r="AX16" s="5">
        <v>4</v>
      </c>
      <c r="AY16" s="5">
        <v>5</v>
      </c>
      <c r="AZ16" s="5"/>
      <c r="BA16" s="5"/>
      <c r="BB16" s="5">
        <v>0.28999999999999998</v>
      </c>
      <c r="BC16" s="5">
        <v>0</v>
      </c>
      <c r="BD16" s="5">
        <v>47</v>
      </c>
      <c r="BE16" s="20">
        <v>1.7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20"/>
      <c r="CC16" s="5">
        <v>4.5</v>
      </c>
      <c r="CD16" s="5">
        <v>405</v>
      </c>
      <c r="CE16" s="20">
        <v>15.1</v>
      </c>
      <c r="CF16" s="5">
        <v>47.51</v>
      </c>
      <c r="CG16" s="5">
        <v>1.01</v>
      </c>
      <c r="CH16" s="5">
        <v>14.65</v>
      </c>
      <c r="CI16" s="5">
        <v>13.35</v>
      </c>
      <c r="CJ16" s="5">
        <v>0.28000000000000003</v>
      </c>
      <c r="CK16" s="5">
        <v>6.87</v>
      </c>
      <c r="CL16" s="5">
        <v>7.19</v>
      </c>
      <c r="CM16" s="5">
        <v>3.05</v>
      </c>
      <c r="CN16" s="5">
        <v>0.67</v>
      </c>
      <c r="CO16" s="5">
        <v>0.18</v>
      </c>
      <c r="CP16" s="5">
        <v>1011</v>
      </c>
      <c r="CQ16" s="5">
        <v>565</v>
      </c>
      <c r="CR16" s="5">
        <v>1614</v>
      </c>
      <c r="CS16" s="5">
        <v>1049</v>
      </c>
      <c r="CT16" s="5">
        <v>3.15</v>
      </c>
      <c r="CU16" s="20">
        <v>860</v>
      </c>
      <c r="CV16" s="5">
        <v>0.31</v>
      </c>
      <c r="CW16" s="5">
        <v>0.01</v>
      </c>
      <c r="CX16" s="5">
        <v>0.03</v>
      </c>
      <c r="CY16" s="5">
        <v>0.02</v>
      </c>
      <c r="CZ16" s="5">
        <v>0</v>
      </c>
      <c r="DA16" s="5">
        <v>0.12</v>
      </c>
      <c r="DB16" s="5">
        <v>7.0000000000000007E-2</v>
      </c>
      <c r="DC16" s="5">
        <v>0.17</v>
      </c>
      <c r="DD16" s="5">
        <v>0.01</v>
      </c>
      <c r="DE16" s="5">
        <v>0.01</v>
      </c>
      <c r="DF16" s="5">
        <v>25</v>
      </c>
      <c r="DG16" s="5">
        <v>37</v>
      </c>
      <c r="DH16" s="5">
        <v>113</v>
      </c>
      <c r="DI16" s="5">
        <v>10</v>
      </c>
      <c r="DJ16" s="5">
        <v>0.12</v>
      </c>
      <c r="DK16" s="20">
        <v>361</v>
      </c>
      <c r="DL16" s="5">
        <v>38.340000000000003</v>
      </c>
      <c r="DM16" s="5">
        <v>24.05</v>
      </c>
      <c r="DN16" s="5">
        <v>0.15</v>
      </c>
      <c r="DO16" s="5">
        <v>37.94</v>
      </c>
      <c r="DP16" s="5">
        <v>0.39</v>
      </c>
      <c r="DQ16" s="20">
        <v>73.8</v>
      </c>
      <c r="DR16" s="5">
        <v>0.04</v>
      </c>
      <c r="DS16" s="5">
        <v>0.09</v>
      </c>
      <c r="DT16" s="5">
        <v>0.02</v>
      </c>
      <c r="DU16" s="5">
        <v>0.2</v>
      </c>
      <c r="DV16" s="5">
        <v>0.01</v>
      </c>
      <c r="DW16" s="20">
        <v>0.03</v>
      </c>
      <c r="DX16" s="5"/>
      <c r="DY16" s="5"/>
      <c r="DZ16" s="5"/>
      <c r="EA16" s="5"/>
      <c r="EB16" s="5"/>
      <c r="EC16" s="5"/>
      <c r="ED16" s="5"/>
      <c r="EE16" s="5" t="s">
        <v>3</v>
      </c>
      <c r="EF16" s="5"/>
      <c r="EG16" s="20"/>
      <c r="EH16" s="5"/>
      <c r="EI16" s="5"/>
      <c r="EJ16" s="5"/>
      <c r="EK16" s="5"/>
      <c r="EL16" s="5"/>
      <c r="EM16" s="21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4"/>
    </row>
    <row r="17" spans="1:181" ht="15" x14ac:dyDescent="0.2">
      <c r="A17" s="4" t="s">
        <v>348</v>
      </c>
      <c r="B17" s="4" t="s">
        <v>1</v>
      </c>
      <c r="C17" s="4" t="s">
        <v>314</v>
      </c>
      <c r="D17" s="4" t="s">
        <v>345</v>
      </c>
      <c r="E17" s="5" t="s">
        <v>325</v>
      </c>
      <c r="F17" s="5" t="s">
        <v>346</v>
      </c>
      <c r="G17" s="5">
        <v>0.2</v>
      </c>
      <c r="H17" s="5">
        <v>0.01</v>
      </c>
      <c r="I17" s="4" t="s">
        <v>3</v>
      </c>
      <c r="J17" s="19" t="s">
        <v>3</v>
      </c>
      <c r="K17" s="5">
        <v>48.92</v>
      </c>
      <c r="L17" s="5">
        <v>0.67</v>
      </c>
      <c r="M17" s="5">
        <v>20.93</v>
      </c>
      <c r="N17" s="5">
        <v>2.6</v>
      </c>
      <c r="O17" s="5">
        <v>7.24</v>
      </c>
      <c r="P17" s="5">
        <v>0.22</v>
      </c>
      <c r="Q17" s="5">
        <v>3.52</v>
      </c>
      <c r="R17" s="5">
        <v>10.46</v>
      </c>
      <c r="S17" s="5">
        <v>2.7</v>
      </c>
      <c r="T17" s="5">
        <v>0.49</v>
      </c>
      <c r="U17" s="5">
        <v>0.12</v>
      </c>
      <c r="V17" s="5">
        <v>1079</v>
      </c>
      <c r="W17" s="5">
        <v>752</v>
      </c>
      <c r="X17" s="5">
        <v>2</v>
      </c>
      <c r="Y17" s="5">
        <v>440</v>
      </c>
      <c r="Z17" s="20">
        <v>100</v>
      </c>
      <c r="AA17" s="5">
        <v>1127</v>
      </c>
      <c r="AB17" s="5">
        <v>1024</v>
      </c>
      <c r="AC17" s="5"/>
      <c r="AD17" s="5"/>
      <c r="AE17" s="5">
        <v>-8.5</v>
      </c>
      <c r="AF17" s="5">
        <v>0.31</v>
      </c>
      <c r="AG17" s="5">
        <v>94</v>
      </c>
      <c r="AH17" s="20">
        <v>3.9</v>
      </c>
      <c r="AI17" s="5">
        <v>0.52</v>
      </c>
      <c r="AJ17" s="5">
        <v>0.02</v>
      </c>
      <c r="AK17" s="5">
        <v>0.21</v>
      </c>
      <c r="AL17" s="5">
        <v>0.16</v>
      </c>
      <c r="AM17" s="5">
        <v>0.17</v>
      </c>
      <c r="AN17" s="5">
        <v>0.01</v>
      </c>
      <c r="AO17" s="5">
        <v>0.1</v>
      </c>
      <c r="AP17" s="5">
        <v>0.05</v>
      </c>
      <c r="AQ17" s="5">
        <v>0.24</v>
      </c>
      <c r="AR17" s="5">
        <v>0.02</v>
      </c>
      <c r="AS17" s="5">
        <v>0.01</v>
      </c>
      <c r="AT17" s="5">
        <v>113</v>
      </c>
      <c r="AU17" s="5">
        <v>57</v>
      </c>
      <c r="AV17" s="5">
        <v>0</v>
      </c>
      <c r="AW17" s="5">
        <v>94</v>
      </c>
      <c r="AX17" s="5">
        <v>3</v>
      </c>
      <c r="AY17" s="5">
        <v>5</v>
      </c>
      <c r="AZ17" s="5"/>
      <c r="BA17" s="5"/>
      <c r="BB17" s="5">
        <v>0.41</v>
      </c>
      <c r="BC17" s="5">
        <v>0</v>
      </c>
      <c r="BD17" s="5">
        <v>17</v>
      </c>
      <c r="BE17" s="20">
        <v>0.7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20"/>
      <c r="CC17" s="5">
        <v>4.0999999999999996</v>
      </c>
      <c r="CD17" s="5">
        <v>265</v>
      </c>
      <c r="CE17" s="20">
        <v>10.199999999999999</v>
      </c>
      <c r="CF17" s="5">
        <v>48</v>
      </c>
      <c r="CG17" s="5">
        <v>0.61</v>
      </c>
      <c r="CH17" s="5">
        <v>19.12</v>
      </c>
      <c r="CI17" s="5">
        <v>10.69</v>
      </c>
      <c r="CJ17" s="5">
        <v>0.2</v>
      </c>
      <c r="CK17" s="5">
        <v>6.6</v>
      </c>
      <c r="CL17" s="5">
        <v>9.56</v>
      </c>
      <c r="CM17" s="5">
        <v>2.46</v>
      </c>
      <c r="CN17" s="5">
        <v>0.45</v>
      </c>
      <c r="CO17" s="5">
        <v>0.11</v>
      </c>
      <c r="CP17" s="5">
        <v>618</v>
      </c>
      <c r="CQ17" s="5">
        <v>565</v>
      </c>
      <c r="CR17" s="5">
        <v>986</v>
      </c>
      <c r="CS17" s="5">
        <v>687</v>
      </c>
      <c r="CT17" s="5">
        <v>1.79</v>
      </c>
      <c r="CU17" s="20">
        <v>402</v>
      </c>
      <c r="CV17" s="5">
        <v>0.43</v>
      </c>
      <c r="CW17" s="5">
        <v>0.02</v>
      </c>
      <c r="CX17" s="5">
        <v>0.21</v>
      </c>
      <c r="CY17" s="5">
        <v>0.09</v>
      </c>
      <c r="CZ17" s="5">
        <v>0.01</v>
      </c>
      <c r="DA17" s="5">
        <v>0.15</v>
      </c>
      <c r="DB17" s="5">
        <v>0.03</v>
      </c>
      <c r="DC17" s="5">
        <v>0.21</v>
      </c>
      <c r="DD17" s="5">
        <v>0.02</v>
      </c>
      <c r="DE17" s="5">
        <v>0.01</v>
      </c>
      <c r="DF17" s="5">
        <v>40</v>
      </c>
      <c r="DG17" s="5">
        <v>37</v>
      </c>
      <c r="DH17" s="5">
        <v>91</v>
      </c>
      <c r="DI17" s="5">
        <v>51</v>
      </c>
      <c r="DJ17" s="5">
        <v>0.02</v>
      </c>
      <c r="DK17" s="20">
        <v>86</v>
      </c>
      <c r="DL17" s="5">
        <v>38.619999999999997</v>
      </c>
      <c r="DM17" s="5">
        <v>24.34</v>
      </c>
      <c r="DN17" s="5">
        <v>0.14000000000000001</v>
      </c>
      <c r="DO17" s="5">
        <v>38.21</v>
      </c>
      <c r="DP17" s="5">
        <v>0.36</v>
      </c>
      <c r="DQ17" s="20">
        <v>73.7</v>
      </c>
      <c r="DR17" s="5">
        <v>7.0000000000000007E-2</v>
      </c>
      <c r="DS17" s="5">
        <v>0.17</v>
      </c>
      <c r="DT17" s="5">
        <v>0.01</v>
      </c>
      <c r="DU17" s="5">
        <v>0.16</v>
      </c>
      <c r="DV17" s="5">
        <v>0.01</v>
      </c>
      <c r="DW17" s="20">
        <v>0.17</v>
      </c>
      <c r="DX17" s="5"/>
      <c r="DY17" s="5"/>
      <c r="DZ17" s="5"/>
      <c r="EA17" s="5"/>
      <c r="EB17" s="5"/>
      <c r="EC17" s="5"/>
      <c r="ED17" s="5"/>
      <c r="EE17" s="5" t="s">
        <v>322</v>
      </c>
      <c r="EF17" s="5"/>
      <c r="EG17" s="20"/>
      <c r="EH17" s="5"/>
      <c r="EI17" s="5"/>
      <c r="EJ17" s="5"/>
      <c r="EK17" s="5"/>
      <c r="EL17" s="5"/>
      <c r="EM17" s="21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4"/>
    </row>
    <row r="18" spans="1:181" ht="15" x14ac:dyDescent="0.2">
      <c r="A18" s="4" t="s">
        <v>349</v>
      </c>
      <c r="B18" s="4" t="s">
        <v>1</v>
      </c>
      <c r="C18" s="4" t="s">
        <v>314</v>
      </c>
      <c r="D18" s="4" t="s">
        <v>345</v>
      </c>
      <c r="E18" s="5" t="s">
        <v>325</v>
      </c>
      <c r="F18" s="5" t="s">
        <v>346</v>
      </c>
      <c r="G18" s="5">
        <v>0.2</v>
      </c>
      <c r="H18" s="5">
        <v>0.01</v>
      </c>
      <c r="I18" s="4" t="s">
        <v>3</v>
      </c>
      <c r="J18" s="19" t="s">
        <v>3</v>
      </c>
      <c r="K18" s="5">
        <v>51.14</v>
      </c>
      <c r="L18" s="5">
        <v>1.18</v>
      </c>
      <c r="M18" s="5">
        <v>16.489999999999998</v>
      </c>
      <c r="N18" s="5">
        <v>3</v>
      </c>
      <c r="O18" s="5">
        <v>7.09</v>
      </c>
      <c r="P18" s="5">
        <v>0.25</v>
      </c>
      <c r="Q18" s="5">
        <v>3.9</v>
      </c>
      <c r="R18" s="5">
        <v>8.1199999999999992</v>
      </c>
      <c r="S18" s="5">
        <v>3.35</v>
      </c>
      <c r="T18" s="5">
        <v>0.8</v>
      </c>
      <c r="U18" s="5">
        <v>0.2</v>
      </c>
      <c r="V18" s="5">
        <v>1709</v>
      </c>
      <c r="W18" s="5">
        <v>1226</v>
      </c>
      <c r="X18" s="5">
        <v>2.6</v>
      </c>
      <c r="Y18" s="5">
        <v>669</v>
      </c>
      <c r="Z18" s="20">
        <v>98.5</v>
      </c>
      <c r="AA18" s="5">
        <v>1140</v>
      </c>
      <c r="AB18" s="5">
        <v>1049</v>
      </c>
      <c r="AC18" s="5"/>
      <c r="AD18" s="5"/>
      <c r="AE18" s="5">
        <v>-8.6999999999999993</v>
      </c>
      <c r="AF18" s="5">
        <v>0.31</v>
      </c>
      <c r="AG18" s="5">
        <v>184</v>
      </c>
      <c r="AH18" s="20">
        <v>7.3</v>
      </c>
      <c r="AI18" s="5">
        <v>0.38</v>
      </c>
      <c r="AJ18" s="5">
        <v>0.03</v>
      </c>
      <c r="AK18" s="5">
        <v>0.12</v>
      </c>
      <c r="AL18" s="5">
        <v>0.15</v>
      </c>
      <c r="AM18" s="5">
        <v>0.14000000000000001</v>
      </c>
      <c r="AN18" s="5">
        <v>0.01</v>
      </c>
      <c r="AO18" s="5">
        <v>0.13</v>
      </c>
      <c r="AP18" s="5">
        <v>0.11</v>
      </c>
      <c r="AQ18" s="5">
        <v>0.26</v>
      </c>
      <c r="AR18" s="5">
        <v>0.01</v>
      </c>
      <c r="AS18" s="5">
        <v>0.01</v>
      </c>
      <c r="AT18" s="5">
        <v>127</v>
      </c>
      <c r="AU18" s="5">
        <v>22</v>
      </c>
      <c r="AV18" s="5">
        <v>0.1</v>
      </c>
      <c r="AW18" s="5">
        <v>94</v>
      </c>
      <c r="AX18" s="5">
        <v>4</v>
      </c>
      <c r="AY18" s="5">
        <v>6</v>
      </c>
      <c r="AZ18" s="5"/>
      <c r="BA18" s="5"/>
      <c r="BB18" s="5">
        <v>0.56999999999999995</v>
      </c>
      <c r="BC18" s="5">
        <v>0</v>
      </c>
      <c r="BD18" s="5">
        <v>17</v>
      </c>
      <c r="BE18" s="20">
        <v>0.6</v>
      </c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20"/>
      <c r="CC18" s="5">
        <v>4</v>
      </c>
      <c r="CD18" s="5">
        <v>303</v>
      </c>
      <c r="CE18" s="20">
        <v>11.5</v>
      </c>
      <c r="CF18" s="5">
        <v>49.51</v>
      </c>
      <c r="CG18" s="5">
        <v>1.06</v>
      </c>
      <c r="CH18" s="5">
        <v>14.87</v>
      </c>
      <c r="CI18" s="5">
        <v>12.18</v>
      </c>
      <c r="CJ18" s="5">
        <v>0.23</v>
      </c>
      <c r="CK18" s="5">
        <v>6.42</v>
      </c>
      <c r="CL18" s="5">
        <v>7.32</v>
      </c>
      <c r="CM18" s="5">
        <v>3.02</v>
      </c>
      <c r="CN18" s="5">
        <v>0.73</v>
      </c>
      <c r="CO18" s="5">
        <v>0.18</v>
      </c>
      <c r="CP18" s="5">
        <v>965</v>
      </c>
      <c r="CQ18" s="5">
        <v>565</v>
      </c>
      <c r="CR18" s="5">
        <v>1541</v>
      </c>
      <c r="CS18" s="5">
        <v>1105</v>
      </c>
      <c r="CT18" s="5">
        <v>2.35</v>
      </c>
      <c r="CU18" s="20">
        <v>604</v>
      </c>
      <c r="CV18" s="5">
        <v>0.33</v>
      </c>
      <c r="CW18" s="5">
        <v>0.03</v>
      </c>
      <c r="CX18" s="5">
        <v>0.06</v>
      </c>
      <c r="CY18" s="5">
        <v>0.08</v>
      </c>
      <c r="CZ18" s="5">
        <v>0.01</v>
      </c>
      <c r="DA18" s="5">
        <v>0.18</v>
      </c>
      <c r="DB18" s="5">
        <v>0.09</v>
      </c>
      <c r="DC18" s="5">
        <v>0.28999999999999998</v>
      </c>
      <c r="DD18" s="5">
        <v>0</v>
      </c>
      <c r="DE18" s="5">
        <v>0.01</v>
      </c>
      <c r="DF18" s="5">
        <v>31</v>
      </c>
      <c r="DG18" s="5">
        <v>37</v>
      </c>
      <c r="DH18" s="5">
        <v>113</v>
      </c>
      <c r="DI18" s="5">
        <v>19</v>
      </c>
      <c r="DJ18" s="5">
        <v>0.05</v>
      </c>
      <c r="DK18" s="20">
        <v>100</v>
      </c>
      <c r="DL18" s="5">
        <v>38.94</v>
      </c>
      <c r="DM18" s="5">
        <v>22.39</v>
      </c>
      <c r="DN18" s="5">
        <v>0.12</v>
      </c>
      <c r="DO18" s="5">
        <v>39.69</v>
      </c>
      <c r="DP18" s="5">
        <v>0.33</v>
      </c>
      <c r="DQ18" s="20">
        <v>76</v>
      </c>
      <c r="DR18" s="5">
        <v>7.0000000000000007E-2</v>
      </c>
      <c r="DS18" s="5">
        <v>0.37</v>
      </c>
      <c r="DT18" s="5">
        <v>0.01</v>
      </c>
      <c r="DU18" s="5">
        <v>0.54</v>
      </c>
      <c r="DV18" s="5">
        <v>0.03</v>
      </c>
      <c r="DW18" s="20">
        <v>0.55000000000000004</v>
      </c>
      <c r="DX18" s="5" t="s">
        <v>318</v>
      </c>
      <c r="DY18" s="5" t="s">
        <v>319</v>
      </c>
      <c r="DZ18" s="5" t="s">
        <v>330</v>
      </c>
      <c r="EA18" s="5" t="s">
        <v>321</v>
      </c>
      <c r="EB18" s="5">
        <v>50</v>
      </c>
      <c r="EC18" s="5">
        <v>45</v>
      </c>
      <c r="ED18" s="5" t="s">
        <v>3</v>
      </c>
      <c r="EE18" s="5" t="s">
        <v>3</v>
      </c>
      <c r="EF18" s="5"/>
      <c r="EG18" s="20"/>
      <c r="EH18" s="5" t="s">
        <v>331</v>
      </c>
      <c r="EI18" s="5" t="s">
        <v>328</v>
      </c>
      <c r="EJ18" s="5" t="s">
        <v>350</v>
      </c>
      <c r="EK18" s="5"/>
      <c r="EL18" s="5"/>
      <c r="EM18" s="21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4"/>
    </row>
    <row r="19" spans="1:181" ht="15" x14ac:dyDescent="0.2">
      <c r="A19" s="4" t="s">
        <v>351</v>
      </c>
      <c r="B19" s="4" t="s">
        <v>1</v>
      </c>
      <c r="C19" s="4" t="s">
        <v>314</v>
      </c>
      <c r="D19" s="4" t="s">
        <v>345</v>
      </c>
      <c r="E19" s="5" t="s">
        <v>325</v>
      </c>
      <c r="F19" s="5" t="s">
        <v>346</v>
      </c>
      <c r="G19" s="5">
        <v>0.2</v>
      </c>
      <c r="H19" s="5">
        <v>0.01</v>
      </c>
      <c r="I19" s="4" t="s">
        <v>3</v>
      </c>
      <c r="J19" s="19" t="s">
        <v>3</v>
      </c>
      <c r="K19" s="5">
        <v>51.46</v>
      </c>
      <c r="L19" s="5">
        <v>1.0900000000000001</v>
      </c>
      <c r="M19" s="5">
        <v>17.559999999999999</v>
      </c>
      <c r="N19" s="5">
        <v>3.48</v>
      </c>
      <c r="O19" s="5">
        <v>6.1</v>
      </c>
      <c r="P19" s="5">
        <v>0.32</v>
      </c>
      <c r="Q19" s="5">
        <v>2.97</v>
      </c>
      <c r="R19" s="5">
        <v>8.16</v>
      </c>
      <c r="S19" s="5">
        <v>3.08</v>
      </c>
      <c r="T19" s="5">
        <v>0.81</v>
      </c>
      <c r="U19" s="5">
        <v>0.21</v>
      </c>
      <c r="V19" s="5">
        <v>2076</v>
      </c>
      <c r="W19" s="5">
        <v>1328</v>
      </c>
      <c r="X19" s="5">
        <v>3.8</v>
      </c>
      <c r="Y19" s="5">
        <v>1208</v>
      </c>
      <c r="Z19" s="20">
        <v>99.4</v>
      </c>
      <c r="AA19" s="5">
        <v>1142</v>
      </c>
      <c r="AB19" s="5">
        <v>997</v>
      </c>
      <c r="AC19" s="5"/>
      <c r="AD19" s="5"/>
      <c r="AE19" s="5">
        <v>-13</v>
      </c>
      <c r="AF19" s="5">
        <v>0.32</v>
      </c>
      <c r="AG19" s="5">
        <v>301</v>
      </c>
      <c r="AH19" s="20">
        <v>11.5</v>
      </c>
      <c r="AI19" s="5">
        <v>0.7</v>
      </c>
      <c r="AJ19" s="5">
        <v>0.05</v>
      </c>
      <c r="AK19" s="5">
        <v>0.21</v>
      </c>
      <c r="AL19" s="5">
        <v>0.2</v>
      </c>
      <c r="AM19" s="5">
        <v>0.17</v>
      </c>
      <c r="AN19" s="5">
        <v>0.02</v>
      </c>
      <c r="AO19" s="5">
        <v>0.14000000000000001</v>
      </c>
      <c r="AP19" s="5">
        <v>0.17</v>
      </c>
      <c r="AQ19" s="5">
        <v>0.47</v>
      </c>
      <c r="AR19" s="5">
        <v>0.03</v>
      </c>
      <c r="AS19" s="5">
        <v>0.01</v>
      </c>
      <c r="AT19" s="5">
        <v>194</v>
      </c>
      <c r="AU19" s="5">
        <v>28</v>
      </c>
      <c r="AV19" s="5">
        <v>0.1</v>
      </c>
      <c r="AW19" s="5">
        <v>170</v>
      </c>
      <c r="AX19" s="5">
        <v>8</v>
      </c>
      <c r="AY19" s="5">
        <v>6</v>
      </c>
      <c r="AZ19" s="5"/>
      <c r="BA19" s="5"/>
      <c r="BB19" s="5">
        <v>0.81</v>
      </c>
      <c r="BC19" s="5">
        <v>0.01</v>
      </c>
      <c r="BD19" s="5">
        <v>34</v>
      </c>
      <c r="BE19" s="20">
        <v>1.2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20"/>
      <c r="CC19" s="5">
        <v>4.3</v>
      </c>
      <c r="CD19" s="5">
        <v>427</v>
      </c>
      <c r="CE19" s="20">
        <v>15.8</v>
      </c>
      <c r="CF19" s="5">
        <v>48.89</v>
      </c>
      <c r="CG19" s="5">
        <v>0.93</v>
      </c>
      <c r="CH19" s="5">
        <v>14.94</v>
      </c>
      <c r="CI19" s="5">
        <v>13.31</v>
      </c>
      <c r="CJ19" s="5">
        <v>0.27</v>
      </c>
      <c r="CK19" s="5">
        <v>6.73</v>
      </c>
      <c r="CL19" s="5">
        <v>6.94</v>
      </c>
      <c r="CM19" s="5">
        <v>2.62</v>
      </c>
      <c r="CN19" s="5">
        <v>0.69</v>
      </c>
      <c r="CO19" s="5">
        <v>0.18</v>
      </c>
      <c r="CP19" s="5">
        <v>1106</v>
      </c>
      <c r="CQ19" s="5">
        <v>565</v>
      </c>
      <c r="CR19" s="5">
        <v>1765</v>
      </c>
      <c r="CS19" s="5">
        <v>1129</v>
      </c>
      <c r="CT19" s="5">
        <v>3.19</v>
      </c>
      <c r="CU19" s="20">
        <v>1028</v>
      </c>
      <c r="CV19" s="5">
        <v>0.74</v>
      </c>
      <c r="CW19" s="5">
        <v>0.05</v>
      </c>
      <c r="CX19" s="5">
        <v>0.14000000000000001</v>
      </c>
      <c r="CY19" s="5">
        <v>0.24</v>
      </c>
      <c r="CZ19" s="5">
        <v>0.02</v>
      </c>
      <c r="DA19" s="5">
        <v>0.37</v>
      </c>
      <c r="DB19" s="5">
        <v>0.16</v>
      </c>
      <c r="DC19" s="5">
        <v>0.54</v>
      </c>
      <c r="DD19" s="5">
        <v>0.02</v>
      </c>
      <c r="DE19" s="5">
        <v>0.01</v>
      </c>
      <c r="DF19" s="5">
        <v>63</v>
      </c>
      <c r="DG19" s="5">
        <v>37</v>
      </c>
      <c r="DH19" s="5">
        <v>154</v>
      </c>
      <c r="DI19" s="5">
        <v>25</v>
      </c>
      <c r="DJ19" s="5">
        <v>0.05</v>
      </c>
      <c r="DK19" s="20">
        <v>147</v>
      </c>
      <c r="DL19" s="5">
        <v>38.35</v>
      </c>
      <c r="DM19" s="5">
        <v>24.79</v>
      </c>
      <c r="DN19" s="5">
        <v>0.16</v>
      </c>
      <c r="DO19" s="5">
        <v>38</v>
      </c>
      <c r="DP19" s="5">
        <v>0.4</v>
      </c>
      <c r="DQ19" s="20">
        <v>73.2</v>
      </c>
      <c r="DR19" s="5">
        <v>0.1</v>
      </c>
      <c r="DS19" s="5">
        <v>0.25</v>
      </c>
      <c r="DT19" s="5">
        <v>0.01</v>
      </c>
      <c r="DU19" s="5">
        <v>7.0000000000000007E-2</v>
      </c>
      <c r="DV19" s="5">
        <v>0.01</v>
      </c>
      <c r="DW19" s="20">
        <v>0.2</v>
      </c>
      <c r="DX19" s="5"/>
      <c r="DY19" s="5"/>
      <c r="DZ19" s="5"/>
      <c r="EA19" s="5"/>
      <c r="EB19" s="5"/>
      <c r="EC19" s="5"/>
      <c r="ED19" s="5"/>
      <c r="EE19" s="5" t="s">
        <v>3</v>
      </c>
      <c r="EF19" s="5"/>
      <c r="EG19" s="20"/>
      <c r="EH19" s="5"/>
      <c r="EI19" s="5"/>
      <c r="EJ19" s="5"/>
      <c r="EK19" s="5"/>
      <c r="EL19" s="5"/>
      <c r="EM19" s="21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4"/>
    </row>
    <row r="20" spans="1:181" ht="15" x14ac:dyDescent="0.2">
      <c r="A20" s="4" t="s">
        <v>352</v>
      </c>
      <c r="B20" s="4" t="s">
        <v>1</v>
      </c>
      <c r="C20" s="4" t="s">
        <v>314</v>
      </c>
      <c r="D20" s="4" t="s">
        <v>345</v>
      </c>
      <c r="E20" s="5" t="s">
        <v>325</v>
      </c>
      <c r="F20" s="5" t="s">
        <v>346</v>
      </c>
      <c r="G20" s="5">
        <v>0.2</v>
      </c>
      <c r="H20" s="5">
        <v>0.01</v>
      </c>
      <c r="I20" s="4" t="s">
        <v>3</v>
      </c>
      <c r="J20" s="19" t="s">
        <v>3</v>
      </c>
      <c r="K20" s="5">
        <v>48.75</v>
      </c>
      <c r="L20" s="5">
        <v>0.87</v>
      </c>
      <c r="M20" s="5">
        <v>19.440000000000001</v>
      </c>
      <c r="N20" s="5">
        <v>2.7</v>
      </c>
      <c r="O20" s="5">
        <v>7.14</v>
      </c>
      <c r="P20" s="5">
        <v>0.23</v>
      </c>
      <c r="Q20" s="5">
        <v>3.64</v>
      </c>
      <c r="R20" s="5">
        <v>9.3699999999999992</v>
      </c>
      <c r="S20" s="5">
        <v>2.89</v>
      </c>
      <c r="T20" s="5">
        <v>0.61</v>
      </c>
      <c r="U20" s="5">
        <v>0.16</v>
      </c>
      <c r="V20" s="5">
        <v>1327</v>
      </c>
      <c r="W20" s="5">
        <v>923</v>
      </c>
      <c r="X20" s="5">
        <v>1.7</v>
      </c>
      <c r="Y20" s="5">
        <v>0</v>
      </c>
      <c r="Z20" s="20">
        <v>97.7</v>
      </c>
      <c r="AA20" s="5">
        <v>1136</v>
      </c>
      <c r="AB20" s="5">
        <v>1036</v>
      </c>
      <c r="AC20" s="5"/>
      <c r="AD20" s="5"/>
      <c r="AE20" s="5">
        <v>-8.4</v>
      </c>
      <c r="AF20" s="5">
        <v>0.31</v>
      </c>
      <c r="AG20" s="5">
        <v>24</v>
      </c>
      <c r="AH20" s="20">
        <v>1.1000000000000001</v>
      </c>
      <c r="AI20" s="5">
        <v>0.33</v>
      </c>
      <c r="AJ20" s="5">
        <v>7.0000000000000007E-2</v>
      </c>
      <c r="AK20" s="5">
        <v>0.12</v>
      </c>
      <c r="AL20" s="5">
        <v>0.12</v>
      </c>
      <c r="AM20" s="5">
        <v>0.13</v>
      </c>
      <c r="AN20" s="5">
        <v>0.01</v>
      </c>
      <c r="AO20" s="5">
        <v>0.08</v>
      </c>
      <c r="AP20" s="5">
        <v>0.05</v>
      </c>
      <c r="AQ20" s="5">
        <v>0.12</v>
      </c>
      <c r="AR20" s="5">
        <v>0.01</v>
      </c>
      <c r="AS20" s="5">
        <v>0.01</v>
      </c>
      <c r="AT20" s="5">
        <v>102</v>
      </c>
      <c r="AU20" s="5">
        <v>40</v>
      </c>
      <c r="AV20" s="5">
        <v>0.1</v>
      </c>
      <c r="AW20" s="5">
        <v>0</v>
      </c>
      <c r="AX20" s="5">
        <v>2</v>
      </c>
      <c r="AY20" s="5">
        <v>4</v>
      </c>
      <c r="AZ20" s="5"/>
      <c r="BA20" s="5"/>
      <c r="BB20" s="5">
        <v>0.24</v>
      </c>
      <c r="BC20" s="5">
        <v>0</v>
      </c>
      <c r="BD20" s="5">
        <v>2</v>
      </c>
      <c r="BE20" s="20">
        <v>0.1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20"/>
      <c r="CC20" s="5">
        <v>3.9</v>
      </c>
      <c r="CD20" s="5"/>
      <c r="CE20" s="20"/>
      <c r="CF20" s="5">
        <v>47.62</v>
      </c>
      <c r="CG20" s="5">
        <v>0.79</v>
      </c>
      <c r="CH20" s="5">
        <v>17.68</v>
      </c>
      <c r="CI20" s="5">
        <v>11.06</v>
      </c>
      <c r="CJ20" s="5">
        <v>0.21</v>
      </c>
      <c r="CK20" s="5">
        <v>6.49</v>
      </c>
      <c r="CL20" s="5">
        <v>8.52</v>
      </c>
      <c r="CM20" s="5">
        <v>2.63</v>
      </c>
      <c r="CN20" s="5">
        <v>0.56000000000000005</v>
      </c>
      <c r="CO20" s="5">
        <v>0.14000000000000001</v>
      </c>
      <c r="CP20" s="5">
        <v>756</v>
      </c>
      <c r="CQ20" s="5">
        <v>565</v>
      </c>
      <c r="CR20" s="5">
        <v>1207</v>
      </c>
      <c r="CS20" s="5">
        <v>839</v>
      </c>
      <c r="CT20" s="22" t="s">
        <v>353</v>
      </c>
      <c r="CU20" s="23" t="s">
        <v>353</v>
      </c>
      <c r="CV20" s="5">
        <v>0.34</v>
      </c>
      <c r="CW20" s="5">
        <v>0.06</v>
      </c>
      <c r="CX20" s="5">
        <v>0.1</v>
      </c>
      <c r="CY20" s="5">
        <v>0.04</v>
      </c>
      <c r="CZ20" s="5">
        <v>0.01</v>
      </c>
      <c r="DA20" s="5">
        <v>0.04</v>
      </c>
      <c r="DB20" s="5">
        <v>0.03</v>
      </c>
      <c r="DC20" s="5">
        <v>0.11</v>
      </c>
      <c r="DD20" s="5">
        <v>0.01</v>
      </c>
      <c r="DE20" s="5">
        <v>0.01</v>
      </c>
      <c r="DF20" s="5">
        <v>15</v>
      </c>
      <c r="DG20" s="5">
        <v>37</v>
      </c>
      <c r="DH20" s="5">
        <v>83</v>
      </c>
      <c r="DI20" s="5">
        <v>32</v>
      </c>
      <c r="DJ20" s="5"/>
      <c r="DK20" s="20"/>
      <c r="DL20" s="5">
        <v>38.57</v>
      </c>
      <c r="DM20" s="5">
        <v>22.86</v>
      </c>
      <c r="DN20" s="5">
        <v>0.14000000000000001</v>
      </c>
      <c r="DO20" s="5">
        <v>38.17</v>
      </c>
      <c r="DP20" s="5">
        <v>0.35</v>
      </c>
      <c r="DQ20" s="20">
        <v>74.8</v>
      </c>
      <c r="DR20" s="5">
        <v>0.05</v>
      </c>
      <c r="DS20" s="5">
        <v>0.13</v>
      </c>
      <c r="DT20" s="5">
        <v>0.02</v>
      </c>
      <c r="DU20" s="5">
        <v>0.61</v>
      </c>
      <c r="DV20" s="5">
        <v>0.01</v>
      </c>
      <c r="DW20" s="20">
        <v>0.21</v>
      </c>
      <c r="DX20" s="5"/>
      <c r="DY20" s="5"/>
      <c r="DZ20" s="5"/>
      <c r="EA20" s="5"/>
      <c r="EB20" s="5"/>
      <c r="EC20" s="5"/>
      <c r="ED20" s="5"/>
      <c r="EE20" s="5" t="s">
        <v>3</v>
      </c>
      <c r="EF20" s="5"/>
      <c r="EG20" s="20"/>
      <c r="EH20" s="5"/>
      <c r="EI20" s="5"/>
      <c r="EJ20" s="5"/>
      <c r="EK20" s="5"/>
      <c r="EL20" s="5"/>
      <c r="EM20" s="21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4"/>
    </row>
    <row r="21" spans="1:181" ht="15" x14ac:dyDescent="0.2">
      <c r="A21" s="4" t="s">
        <v>354</v>
      </c>
      <c r="B21" s="4" t="s">
        <v>1</v>
      </c>
      <c r="C21" s="4" t="s">
        <v>314</v>
      </c>
      <c r="D21" s="4" t="s">
        <v>345</v>
      </c>
      <c r="E21" s="5" t="s">
        <v>325</v>
      </c>
      <c r="F21" s="5" t="s">
        <v>346</v>
      </c>
      <c r="G21" s="5">
        <v>0.2</v>
      </c>
      <c r="H21" s="5">
        <v>0.01</v>
      </c>
      <c r="I21" s="4" t="s">
        <v>3</v>
      </c>
      <c r="J21" s="19" t="s">
        <v>3</v>
      </c>
      <c r="K21" s="5">
        <v>51.12</v>
      </c>
      <c r="L21" s="5">
        <v>1.1599999999999999</v>
      </c>
      <c r="M21" s="5">
        <v>17.329999999999998</v>
      </c>
      <c r="N21" s="5">
        <v>3.29</v>
      </c>
      <c r="O21" s="5">
        <v>6.43</v>
      </c>
      <c r="P21" s="5">
        <v>0.3</v>
      </c>
      <c r="Q21" s="5">
        <v>3.34</v>
      </c>
      <c r="R21" s="5">
        <v>7.76</v>
      </c>
      <c r="S21" s="5">
        <v>2.73</v>
      </c>
      <c r="T21" s="5">
        <v>0.88</v>
      </c>
      <c r="U21" s="5">
        <v>0.2</v>
      </c>
      <c r="V21" s="5">
        <v>2187</v>
      </c>
      <c r="W21" s="5">
        <v>1326</v>
      </c>
      <c r="X21" s="5">
        <v>3.8</v>
      </c>
      <c r="Y21" s="5">
        <v>1426</v>
      </c>
      <c r="Z21" s="20">
        <v>98.8</v>
      </c>
      <c r="AA21" s="5">
        <v>1145</v>
      </c>
      <c r="AB21" s="5">
        <v>1017</v>
      </c>
      <c r="AC21" s="5"/>
      <c r="AD21" s="5"/>
      <c r="AE21" s="5">
        <v>-11.9</v>
      </c>
      <c r="AF21" s="5">
        <v>0.32</v>
      </c>
      <c r="AG21" s="5">
        <v>339</v>
      </c>
      <c r="AH21" s="20">
        <v>12.8</v>
      </c>
      <c r="AI21" s="5">
        <v>0.26</v>
      </c>
      <c r="AJ21" s="5">
        <v>7.0000000000000007E-2</v>
      </c>
      <c r="AK21" s="5">
        <v>0.21</v>
      </c>
      <c r="AL21" s="5">
        <v>0.18</v>
      </c>
      <c r="AM21" s="5">
        <v>0.21</v>
      </c>
      <c r="AN21" s="5">
        <v>0.01</v>
      </c>
      <c r="AO21" s="5">
        <v>0.16</v>
      </c>
      <c r="AP21" s="5">
        <v>0.27</v>
      </c>
      <c r="AQ21" s="5">
        <v>1.1299999999999999</v>
      </c>
      <c r="AR21" s="5">
        <v>0.02</v>
      </c>
      <c r="AS21" s="5">
        <v>0.01</v>
      </c>
      <c r="AT21" s="5">
        <v>277</v>
      </c>
      <c r="AU21" s="5">
        <v>30</v>
      </c>
      <c r="AV21" s="5">
        <v>0.1</v>
      </c>
      <c r="AW21" s="5">
        <v>188</v>
      </c>
      <c r="AX21" s="5">
        <v>4</v>
      </c>
      <c r="AY21" s="5">
        <v>7</v>
      </c>
      <c r="AZ21" s="5"/>
      <c r="BA21" s="5"/>
      <c r="BB21" s="5">
        <v>0.33</v>
      </c>
      <c r="BC21" s="5">
        <v>0.02</v>
      </c>
      <c r="BD21" s="5">
        <v>28</v>
      </c>
      <c r="BE21" s="20">
        <v>1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20"/>
      <c r="CC21" s="5">
        <v>3.9</v>
      </c>
      <c r="CD21" s="5">
        <v>434</v>
      </c>
      <c r="CE21" s="20">
        <v>16</v>
      </c>
      <c r="CF21" s="5">
        <v>48.87</v>
      </c>
      <c r="CG21" s="5">
        <v>1</v>
      </c>
      <c r="CH21" s="5">
        <v>14.98</v>
      </c>
      <c r="CI21" s="5">
        <v>12.79</v>
      </c>
      <c r="CJ21" s="5">
        <v>0.26</v>
      </c>
      <c r="CK21" s="5">
        <v>6.86</v>
      </c>
      <c r="CL21" s="5">
        <v>6.71</v>
      </c>
      <c r="CM21" s="5">
        <v>2.36</v>
      </c>
      <c r="CN21" s="5">
        <v>0.76</v>
      </c>
      <c r="CO21" s="5">
        <v>0.18</v>
      </c>
      <c r="CP21" s="5">
        <v>1184</v>
      </c>
      <c r="CQ21" s="5">
        <v>565</v>
      </c>
      <c r="CR21" s="5">
        <v>1891</v>
      </c>
      <c r="CS21" s="5">
        <v>1146</v>
      </c>
      <c r="CT21" s="5">
        <v>3.27</v>
      </c>
      <c r="CU21" s="20">
        <v>1233</v>
      </c>
      <c r="CV21" s="5">
        <v>0.28999999999999998</v>
      </c>
      <c r="CW21" s="5">
        <v>0.06</v>
      </c>
      <c r="CX21" s="5">
        <v>0.22</v>
      </c>
      <c r="CY21" s="5">
        <v>0.06</v>
      </c>
      <c r="CZ21" s="5">
        <v>0.01</v>
      </c>
      <c r="DA21" s="5">
        <v>0.08</v>
      </c>
      <c r="DB21" s="5">
        <v>0.25</v>
      </c>
      <c r="DC21" s="5">
        <v>1.17</v>
      </c>
      <c r="DD21" s="5">
        <v>0.02</v>
      </c>
      <c r="DE21" s="5">
        <v>0.01</v>
      </c>
      <c r="DF21" s="5">
        <v>112</v>
      </c>
      <c r="DG21" s="5">
        <v>37</v>
      </c>
      <c r="DH21" s="5">
        <v>217</v>
      </c>
      <c r="DI21" s="5">
        <v>26</v>
      </c>
      <c r="DJ21" s="5">
        <v>7.0000000000000007E-2</v>
      </c>
      <c r="DK21" s="20">
        <v>171</v>
      </c>
      <c r="DL21" s="5">
        <v>38.17</v>
      </c>
      <c r="DM21" s="5">
        <v>24.02</v>
      </c>
      <c r="DN21" s="5">
        <v>0.14000000000000001</v>
      </c>
      <c r="DO21" s="5">
        <v>38.46</v>
      </c>
      <c r="DP21" s="5">
        <v>0.41</v>
      </c>
      <c r="DQ21" s="20">
        <v>74.099999999999994</v>
      </c>
      <c r="DR21" s="5">
        <v>7.0000000000000007E-2</v>
      </c>
      <c r="DS21" s="5">
        <v>0.1</v>
      </c>
      <c r="DT21" s="5">
        <v>0.01</v>
      </c>
      <c r="DU21" s="5">
        <v>0.04</v>
      </c>
      <c r="DV21" s="5">
        <v>0.02</v>
      </c>
      <c r="DW21" s="20">
        <v>0.08</v>
      </c>
      <c r="DX21" s="5" t="s">
        <v>333</v>
      </c>
      <c r="DY21" s="5" t="s">
        <v>319</v>
      </c>
      <c r="DZ21" s="5" t="s">
        <v>342</v>
      </c>
      <c r="EA21" s="5" t="s">
        <v>321</v>
      </c>
      <c r="EB21" s="5">
        <v>80</v>
      </c>
      <c r="EC21" s="5">
        <v>80</v>
      </c>
      <c r="ED21" s="5" t="s">
        <v>3</v>
      </c>
      <c r="EE21" s="5" t="s">
        <v>3</v>
      </c>
      <c r="EF21" s="5"/>
      <c r="EG21" s="20"/>
      <c r="EH21" s="5" t="s">
        <v>331</v>
      </c>
      <c r="EI21" s="5" t="s">
        <v>328</v>
      </c>
      <c r="EJ21" s="5" t="s">
        <v>328</v>
      </c>
      <c r="EK21" s="5"/>
      <c r="EL21" s="5"/>
      <c r="EM21" s="21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4"/>
    </row>
    <row r="22" spans="1:181" ht="15" x14ac:dyDescent="0.2">
      <c r="A22" s="4" t="s">
        <v>355</v>
      </c>
      <c r="B22" s="4" t="s">
        <v>1</v>
      </c>
      <c r="C22" s="4" t="s">
        <v>314</v>
      </c>
      <c r="D22" s="4" t="s">
        <v>356</v>
      </c>
      <c r="E22" s="5" t="s">
        <v>325</v>
      </c>
      <c r="F22" s="5" t="s">
        <v>317</v>
      </c>
      <c r="G22" s="5">
        <v>0.2</v>
      </c>
      <c r="H22" s="5">
        <v>0.01</v>
      </c>
      <c r="I22" s="4" t="s">
        <v>3</v>
      </c>
      <c r="J22" s="19" t="s">
        <v>3</v>
      </c>
      <c r="K22" s="5">
        <v>51.11</v>
      </c>
      <c r="L22" s="5">
        <v>1.04</v>
      </c>
      <c r="M22" s="5">
        <v>17.57</v>
      </c>
      <c r="N22" s="5">
        <v>2.91</v>
      </c>
      <c r="O22" s="5">
        <v>6.64</v>
      </c>
      <c r="P22" s="5">
        <v>0.25</v>
      </c>
      <c r="Q22" s="5">
        <v>3.08</v>
      </c>
      <c r="R22" s="5">
        <v>7.34</v>
      </c>
      <c r="S22" s="5">
        <v>4.04</v>
      </c>
      <c r="T22" s="5">
        <v>0.91</v>
      </c>
      <c r="U22" s="5">
        <v>0.3</v>
      </c>
      <c r="V22" s="5">
        <v>1422</v>
      </c>
      <c r="W22" s="5">
        <v>1337</v>
      </c>
      <c r="X22" s="5">
        <v>3.4</v>
      </c>
      <c r="Y22" s="5">
        <v>748</v>
      </c>
      <c r="Z22" s="20">
        <v>99</v>
      </c>
      <c r="AA22" s="5">
        <v>1129</v>
      </c>
      <c r="AB22" s="5">
        <v>1014</v>
      </c>
      <c r="AC22" s="5"/>
      <c r="AD22" s="5"/>
      <c r="AE22" s="5">
        <v>-9.9</v>
      </c>
      <c r="AF22" s="5">
        <v>0.31</v>
      </c>
      <c r="AG22" s="5">
        <v>234</v>
      </c>
      <c r="AH22" s="20">
        <v>9.1</v>
      </c>
      <c r="AI22" s="5">
        <v>0.43</v>
      </c>
      <c r="AJ22" s="5">
        <v>0.03</v>
      </c>
      <c r="AK22" s="5">
        <v>0.09</v>
      </c>
      <c r="AL22" s="5">
        <v>0.15</v>
      </c>
      <c r="AM22" s="5">
        <v>0.15</v>
      </c>
      <c r="AN22" s="5">
        <v>0</v>
      </c>
      <c r="AO22" s="5">
        <v>0.09</v>
      </c>
      <c r="AP22" s="5">
        <v>0.06</v>
      </c>
      <c r="AQ22" s="5">
        <v>0.1</v>
      </c>
      <c r="AR22" s="5">
        <v>0.01</v>
      </c>
      <c r="AS22" s="5">
        <v>0.01</v>
      </c>
      <c r="AT22" s="5">
        <v>134</v>
      </c>
      <c r="AU22" s="5">
        <v>37</v>
      </c>
      <c r="AV22" s="5">
        <v>0.1</v>
      </c>
      <c r="AW22" s="5">
        <v>95</v>
      </c>
      <c r="AX22" s="5">
        <v>2</v>
      </c>
      <c r="AY22" s="5">
        <v>5</v>
      </c>
      <c r="AZ22" s="5"/>
      <c r="BA22" s="5"/>
      <c r="BB22" s="5">
        <v>0.26</v>
      </c>
      <c r="BC22" s="5">
        <v>0</v>
      </c>
      <c r="BD22" s="5">
        <v>19</v>
      </c>
      <c r="BE22" s="20">
        <v>0.7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20"/>
      <c r="CC22" s="5">
        <v>3.9</v>
      </c>
      <c r="CD22" s="5">
        <v>318</v>
      </c>
      <c r="CE22" s="20">
        <v>12.1</v>
      </c>
      <c r="CF22" s="5">
        <v>49.41</v>
      </c>
      <c r="CG22" s="5">
        <v>0.93</v>
      </c>
      <c r="CH22" s="5">
        <v>15.66</v>
      </c>
      <c r="CI22" s="5">
        <v>11.67</v>
      </c>
      <c r="CJ22" s="5">
        <v>0.22</v>
      </c>
      <c r="CK22" s="5">
        <v>6.19</v>
      </c>
      <c r="CL22" s="5">
        <v>6.54</v>
      </c>
      <c r="CM22" s="5">
        <v>3.6</v>
      </c>
      <c r="CN22" s="5">
        <v>0.81</v>
      </c>
      <c r="CO22" s="5">
        <v>0.27</v>
      </c>
      <c r="CP22" s="5">
        <v>794</v>
      </c>
      <c r="CQ22" s="5">
        <v>565</v>
      </c>
      <c r="CR22" s="5">
        <v>1268</v>
      </c>
      <c r="CS22" s="5">
        <v>1192</v>
      </c>
      <c r="CT22" s="5">
        <v>3.05</v>
      </c>
      <c r="CU22" s="20">
        <v>666</v>
      </c>
      <c r="CV22" s="5">
        <v>0.41</v>
      </c>
      <c r="CW22" s="5">
        <v>0.02</v>
      </c>
      <c r="CX22" s="5">
        <v>7.0000000000000007E-2</v>
      </c>
      <c r="CY22" s="5">
        <v>0.09</v>
      </c>
      <c r="CZ22" s="5">
        <v>0</v>
      </c>
      <c r="DA22" s="5">
        <v>0.05</v>
      </c>
      <c r="DB22" s="5">
        <v>0.04</v>
      </c>
      <c r="DC22" s="5">
        <v>0.08</v>
      </c>
      <c r="DD22" s="5">
        <v>0.01</v>
      </c>
      <c r="DE22" s="5">
        <v>0.01</v>
      </c>
      <c r="DF22" s="5">
        <v>45</v>
      </c>
      <c r="DG22" s="5">
        <v>37</v>
      </c>
      <c r="DH22" s="5">
        <v>110</v>
      </c>
      <c r="DI22" s="5">
        <v>34</v>
      </c>
      <c r="DJ22" s="5">
        <v>0.13</v>
      </c>
      <c r="DK22" s="20">
        <v>82</v>
      </c>
      <c r="DL22" s="5">
        <v>38.31</v>
      </c>
      <c r="DM22" s="5">
        <v>25.01</v>
      </c>
      <c r="DN22" s="5">
        <v>0.15</v>
      </c>
      <c r="DO22" s="5">
        <v>37.9</v>
      </c>
      <c r="DP22" s="5">
        <v>0.42</v>
      </c>
      <c r="DQ22" s="20">
        <v>73</v>
      </c>
      <c r="DR22" s="5">
        <v>7.0000000000000007E-2</v>
      </c>
      <c r="DS22" s="5">
        <v>0.21</v>
      </c>
      <c r="DT22" s="5">
        <v>0.02</v>
      </c>
      <c r="DU22" s="5">
        <v>0.12</v>
      </c>
      <c r="DV22" s="5">
        <v>0.02</v>
      </c>
      <c r="DW22" s="20">
        <v>0.23</v>
      </c>
      <c r="DX22" s="5"/>
      <c r="DY22" s="5"/>
      <c r="DZ22" s="5"/>
      <c r="EA22" s="5"/>
      <c r="EB22" s="5"/>
      <c r="EC22" s="5"/>
      <c r="ED22" s="5"/>
      <c r="EE22" s="5" t="s">
        <v>3</v>
      </c>
      <c r="EF22" s="5"/>
      <c r="EG22" s="20"/>
      <c r="EH22" s="5"/>
      <c r="EI22" s="5"/>
      <c r="EJ22" s="5"/>
      <c r="EK22" s="5"/>
      <c r="EL22" s="5"/>
      <c r="EM22" s="21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4"/>
    </row>
    <row r="23" spans="1:181" ht="15" x14ac:dyDescent="0.2">
      <c r="A23" s="4" t="s">
        <v>357</v>
      </c>
      <c r="B23" s="4" t="s">
        <v>1</v>
      </c>
      <c r="C23" s="4" t="s">
        <v>314</v>
      </c>
      <c r="D23" s="4" t="s">
        <v>356</v>
      </c>
      <c r="E23" s="5" t="s">
        <v>325</v>
      </c>
      <c r="F23" s="5" t="s">
        <v>317</v>
      </c>
      <c r="G23" s="5">
        <v>0.2</v>
      </c>
      <c r="H23" s="5">
        <v>0.01</v>
      </c>
      <c r="I23" s="4" t="s">
        <v>3</v>
      </c>
      <c r="J23" s="19" t="s">
        <v>3</v>
      </c>
      <c r="K23" s="5">
        <v>50.81</v>
      </c>
      <c r="L23" s="5">
        <v>1.24</v>
      </c>
      <c r="M23" s="5">
        <v>17.09</v>
      </c>
      <c r="N23" s="5">
        <v>3</v>
      </c>
      <c r="O23" s="5">
        <v>6.48</v>
      </c>
      <c r="P23" s="5">
        <v>0.27</v>
      </c>
      <c r="Q23" s="5">
        <v>3.13</v>
      </c>
      <c r="R23" s="5">
        <v>7.6</v>
      </c>
      <c r="S23" s="5">
        <v>3.88</v>
      </c>
      <c r="T23" s="5">
        <v>0.88</v>
      </c>
      <c r="U23" s="5">
        <v>0.23</v>
      </c>
      <c r="V23" s="5">
        <v>1742</v>
      </c>
      <c r="W23" s="5">
        <v>1383</v>
      </c>
      <c r="X23" s="5">
        <v>4.5999999999999996</v>
      </c>
      <c r="Y23" s="5">
        <v>993</v>
      </c>
      <c r="Z23" s="20">
        <v>99.6</v>
      </c>
      <c r="AA23" s="5">
        <v>1111</v>
      </c>
      <c r="AB23" s="5">
        <v>1003</v>
      </c>
      <c r="AC23" s="5"/>
      <c r="AD23" s="5"/>
      <c r="AE23" s="5">
        <v>-9.6</v>
      </c>
      <c r="AF23" s="5">
        <v>0.31</v>
      </c>
      <c r="AG23" s="5">
        <v>344</v>
      </c>
      <c r="AH23" s="20">
        <v>13</v>
      </c>
      <c r="AI23" s="5">
        <v>0.23</v>
      </c>
      <c r="AJ23" s="5">
        <v>7.0000000000000007E-2</v>
      </c>
      <c r="AK23" s="5">
        <v>0.11</v>
      </c>
      <c r="AL23" s="5">
        <v>0.16</v>
      </c>
      <c r="AM23" s="5">
        <v>0.16</v>
      </c>
      <c r="AN23" s="5">
        <v>0.02</v>
      </c>
      <c r="AO23" s="5">
        <v>0.08</v>
      </c>
      <c r="AP23" s="5">
        <v>0.05</v>
      </c>
      <c r="AQ23" s="5">
        <v>0.12</v>
      </c>
      <c r="AR23" s="5">
        <v>0.03</v>
      </c>
      <c r="AS23" s="5">
        <v>0.01</v>
      </c>
      <c r="AT23" s="5">
        <v>108</v>
      </c>
      <c r="AU23" s="5">
        <v>31</v>
      </c>
      <c r="AV23" s="5">
        <v>0.1</v>
      </c>
      <c r="AW23" s="5">
        <v>123</v>
      </c>
      <c r="AX23" s="5">
        <v>4</v>
      </c>
      <c r="AY23" s="5">
        <v>5</v>
      </c>
      <c r="AZ23" s="5"/>
      <c r="BA23" s="5"/>
      <c r="BB23" s="5">
        <v>0.3</v>
      </c>
      <c r="BC23" s="5">
        <v>0</v>
      </c>
      <c r="BD23" s="5">
        <v>24</v>
      </c>
      <c r="BE23" s="20">
        <v>0.8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20"/>
      <c r="CC23" s="5">
        <v>4.4000000000000004</v>
      </c>
      <c r="CD23" s="5">
        <v>400</v>
      </c>
      <c r="CE23" s="20">
        <v>14.9</v>
      </c>
      <c r="CF23" s="5">
        <v>49.06</v>
      </c>
      <c r="CG23" s="5">
        <v>1.1100000000000001</v>
      </c>
      <c r="CH23" s="5">
        <v>15.23</v>
      </c>
      <c r="CI23" s="5">
        <v>12.04</v>
      </c>
      <c r="CJ23" s="5">
        <v>0.24</v>
      </c>
      <c r="CK23" s="5">
        <v>5.93</v>
      </c>
      <c r="CL23" s="5">
        <v>6.78</v>
      </c>
      <c r="CM23" s="5">
        <v>3.46</v>
      </c>
      <c r="CN23" s="5">
        <v>0.79</v>
      </c>
      <c r="CO23" s="5">
        <v>0.2</v>
      </c>
      <c r="CP23" s="5">
        <v>973</v>
      </c>
      <c r="CQ23" s="5">
        <v>565</v>
      </c>
      <c r="CR23" s="5">
        <v>1553</v>
      </c>
      <c r="CS23" s="5">
        <v>1233</v>
      </c>
      <c r="CT23" s="5">
        <v>4.0999999999999996</v>
      </c>
      <c r="CU23" s="20">
        <v>885</v>
      </c>
      <c r="CV23" s="5">
        <v>0.25</v>
      </c>
      <c r="CW23" s="5">
        <v>0.06</v>
      </c>
      <c r="CX23" s="5">
        <v>0.08</v>
      </c>
      <c r="CY23" s="5">
        <v>0.06</v>
      </c>
      <c r="CZ23" s="5">
        <v>0.02</v>
      </c>
      <c r="DA23" s="5">
        <v>0.12</v>
      </c>
      <c r="DB23" s="5">
        <v>0.04</v>
      </c>
      <c r="DC23" s="5">
        <v>0.11</v>
      </c>
      <c r="DD23" s="5">
        <v>0.03</v>
      </c>
      <c r="DE23" s="5">
        <v>0.01</v>
      </c>
      <c r="DF23" s="5">
        <v>25</v>
      </c>
      <c r="DG23" s="5">
        <v>37</v>
      </c>
      <c r="DH23" s="5">
        <v>110</v>
      </c>
      <c r="DI23" s="5">
        <v>26</v>
      </c>
      <c r="DJ23" s="5">
        <v>0.12</v>
      </c>
      <c r="DK23" s="20">
        <v>97</v>
      </c>
      <c r="DL23" s="5">
        <v>38.450000000000003</v>
      </c>
      <c r="DM23" s="5">
        <v>24.44</v>
      </c>
      <c r="DN23" s="5">
        <v>0.16</v>
      </c>
      <c r="DO23" s="5">
        <v>37.83</v>
      </c>
      <c r="DP23" s="5">
        <v>0.4</v>
      </c>
      <c r="DQ23" s="20">
        <v>73.400000000000006</v>
      </c>
      <c r="DR23" s="5">
        <v>0.01</v>
      </c>
      <c r="DS23" s="5">
        <v>0.12</v>
      </c>
      <c r="DT23" s="5">
        <v>0.01</v>
      </c>
      <c r="DU23" s="5">
        <v>0.04</v>
      </c>
      <c r="DV23" s="5">
        <v>0.01</v>
      </c>
      <c r="DW23" s="20">
        <v>0.08</v>
      </c>
      <c r="DX23" s="5"/>
      <c r="DY23" s="5"/>
      <c r="DZ23" s="5"/>
      <c r="EA23" s="5"/>
      <c r="EB23" s="5"/>
      <c r="EC23" s="5"/>
      <c r="ED23" s="5"/>
      <c r="EE23" s="5" t="s">
        <v>3</v>
      </c>
      <c r="EF23" s="5"/>
      <c r="EG23" s="20"/>
      <c r="EH23" s="5"/>
      <c r="EI23" s="5"/>
      <c r="EJ23" s="5"/>
      <c r="EK23" s="5"/>
      <c r="EL23" s="5"/>
      <c r="EM23" s="21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4"/>
    </row>
    <row r="24" spans="1:181" ht="15" x14ac:dyDescent="0.2">
      <c r="A24" s="4" t="s">
        <v>358</v>
      </c>
      <c r="B24" s="4" t="s">
        <v>1</v>
      </c>
      <c r="C24" s="4" t="s">
        <v>314</v>
      </c>
      <c r="D24" s="4" t="s">
        <v>356</v>
      </c>
      <c r="E24" s="5" t="s">
        <v>325</v>
      </c>
      <c r="F24" s="5" t="s">
        <v>317</v>
      </c>
      <c r="G24" s="5">
        <v>0.2</v>
      </c>
      <c r="H24" s="5">
        <v>0.01</v>
      </c>
      <c r="I24" s="4" t="s">
        <v>3</v>
      </c>
      <c r="J24" s="19" t="s">
        <v>3</v>
      </c>
      <c r="K24" s="5">
        <v>48.51</v>
      </c>
      <c r="L24" s="5">
        <v>0.73</v>
      </c>
      <c r="M24" s="5">
        <v>20.53</v>
      </c>
      <c r="N24" s="5">
        <v>2.46</v>
      </c>
      <c r="O24" s="5">
        <v>7.29</v>
      </c>
      <c r="P24" s="5">
        <v>0.21</v>
      </c>
      <c r="Q24" s="5">
        <v>3.53</v>
      </c>
      <c r="R24" s="5">
        <v>10.039999999999999</v>
      </c>
      <c r="S24" s="5">
        <v>2.91</v>
      </c>
      <c r="T24" s="5">
        <v>0.54</v>
      </c>
      <c r="U24" s="5">
        <v>0.13</v>
      </c>
      <c r="V24" s="5">
        <v>1041</v>
      </c>
      <c r="W24" s="5">
        <v>807</v>
      </c>
      <c r="X24" s="5">
        <v>2.4</v>
      </c>
      <c r="Y24" s="5">
        <v>370</v>
      </c>
      <c r="Z24" s="20">
        <v>99.5</v>
      </c>
      <c r="AA24" s="5">
        <v>1110</v>
      </c>
      <c r="AB24" s="5">
        <v>1022</v>
      </c>
      <c r="AC24" s="5"/>
      <c r="AD24" s="5"/>
      <c r="AE24" s="5">
        <v>-7.1</v>
      </c>
      <c r="AF24" s="5">
        <v>0.31</v>
      </c>
      <c r="AG24" s="5">
        <v>105</v>
      </c>
      <c r="AH24" s="20">
        <v>4.3</v>
      </c>
      <c r="AI24" s="5">
        <v>0.14000000000000001</v>
      </c>
      <c r="AJ24" s="5">
        <v>0.06</v>
      </c>
      <c r="AK24" s="5">
        <v>0.14000000000000001</v>
      </c>
      <c r="AL24" s="5">
        <v>0.13</v>
      </c>
      <c r="AM24" s="5">
        <v>0.13</v>
      </c>
      <c r="AN24" s="5">
        <v>0.02</v>
      </c>
      <c r="AO24" s="5">
        <v>0.08</v>
      </c>
      <c r="AP24" s="5">
        <v>0.15</v>
      </c>
      <c r="AQ24" s="5">
        <v>0.05</v>
      </c>
      <c r="AR24" s="5">
        <v>0.01</v>
      </c>
      <c r="AS24" s="5">
        <v>0</v>
      </c>
      <c r="AT24" s="5">
        <v>89</v>
      </c>
      <c r="AU24" s="5">
        <v>14</v>
      </c>
      <c r="AV24" s="5">
        <v>0</v>
      </c>
      <c r="AW24" s="5">
        <v>150</v>
      </c>
      <c r="AX24" s="5">
        <v>4</v>
      </c>
      <c r="AY24" s="5">
        <v>4</v>
      </c>
      <c r="AZ24" s="5"/>
      <c r="BA24" s="5"/>
      <c r="BB24" s="5">
        <v>0.43</v>
      </c>
      <c r="BC24" s="5">
        <v>0</v>
      </c>
      <c r="BD24" s="5">
        <v>20</v>
      </c>
      <c r="BE24" s="20">
        <v>0.8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20"/>
      <c r="CC24" s="5">
        <v>3.9</v>
      </c>
      <c r="CD24" s="5">
        <v>224</v>
      </c>
      <c r="CE24" s="20">
        <v>8.6999999999999993</v>
      </c>
      <c r="CF24" s="5">
        <v>47.81</v>
      </c>
      <c r="CG24" s="5">
        <v>0.68</v>
      </c>
      <c r="CH24" s="5">
        <v>19.07</v>
      </c>
      <c r="CI24" s="5">
        <v>10.28</v>
      </c>
      <c r="CJ24" s="5">
        <v>0.19</v>
      </c>
      <c r="CK24" s="5">
        <v>6.14</v>
      </c>
      <c r="CL24" s="5">
        <v>9.33</v>
      </c>
      <c r="CM24" s="5">
        <v>2.7</v>
      </c>
      <c r="CN24" s="5">
        <v>0.5</v>
      </c>
      <c r="CO24" s="5">
        <v>0.12</v>
      </c>
      <c r="CP24" s="5">
        <v>605</v>
      </c>
      <c r="CQ24" s="5">
        <v>565</v>
      </c>
      <c r="CR24" s="5">
        <v>967</v>
      </c>
      <c r="CS24" s="5">
        <v>750</v>
      </c>
      <c r="CT24" s="5">
        <v>2.27</v>
      </c>
      <c r="CU24" s="20">
        <v>344</v>
      </c>
      <c r="CV24" s="5">
        <v>0.13</v>
      </c>
      <c r="CW24" s="5">
        <v>0.05</v>
      </c>
      <c r="CX24" s="5">
        <v>0.11</v>
      </c>
      <c r="CY24" s="5">
        <v>0.02</v>
      </c>
      <c r="CZ24" s="5">
        <v>0.01</v>
      </c>
      <c r="DA24" s="5">
        <v>0.15</v>
      </c>
      <c r="DB24" s="5">
        <v>0.14000000000000001</v>
      </c>
      <c r="DC24" s="5">
        <v>0.04</v>
      </c>
      <c r="DD24" s="5">
        <v>0.01</v>
      </c>
      <c r="DE24" s="5">
        <v>0</v>
      </c>
      <c r="DF24" s="5">
        <v>28</v>
      </c>
      <c r="DG24" s="5">
        <v>37</v>
      </c>
      <c r="DH24" s="5">
        <v>78</v>
      </c>
      <c r="DI24" s="5">
        <v>12</v>
      </c>
      <c r="DJ24" s="5">
        <v>0.01</v>
      </c>
      <c r="DK24" s="20">
        <v>134</v>
      </c>
      <c r="DL24" s="5">
        <v>38.270000000000003</v>
      </c>
      <c r="DM24" s="5">
        <v>24.28</v>
      </c>
      <c r="DN24" s="5">
        <v>0.17</v>
      </c>
      <c r="DO24" s="5">
        <v>37.99</v>
      </c>
      <c r="DP24" s="5">
        <v>0.39</v>
      </c>
      <c r="DQ24" s="20">
        <v>73.599999999999994</v>
      </c>
      <c r="DR24" s="5">
        <v>7.0000000000000007E-2</v>
      </c>
      <c r="DS24" s="5">
        <v>0.17</v>
      </c>
      <c r="DT24" s="5">
        <v>0.01</v>
      </c>
      <c r="DU24" s="5">
        <v>0.16</v>
      </c>
      <c r="DV24" s="5">
        <v>0.01</v>
      </c>
      <c r="DW24" s="20">
        <v>0.17</v>
      </c>
      <c r="DX24" s="5"/>
      <c r="DY24" s="5"/>
      <c r="DZ24" s="5"/>
      <c r="EA24" s="5"/>
      <c r="EB24" s="5"/>
      <c r="EC24" s="5"/>
      <c r="ED24" s="5"/>
      <c r="EE24" s="5" t="s">
        <v>3</v>
      </c>
      <c r="EF24" s="5"/>
      <c r="EG24" s="20"/>
      <c r="EH24" s="5"/>
      <c r="EI24" s="5"/>
      <c r="EJ24" s="5"/>
      <c r="EK24" s="5"/>
      <c r="EL24" s="5"/>
      <c r="EM24" s="21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4"/>
    </row>
    <row r="25" spans="1:181" ht="15" x14ac:dyDescent="0.2">
      <c r="A25" s="4" t="s">
        <v>359</v>
      </c>
      <c r="B25" s="4" t="s">
        <v>1</v>
      </c>
      <c r="C25" s="4" t="s">
        <v>314</v>
      </c>
      <c r="D25" s="4" t="s">
        <v>356</v>
      </c>
      <c r="E25" s="5" t="s">
        <v>325</v>
      </c>
      <c r="F25" s="5" t="s">
        <v>317</v>
      </c>
      <c r="G25" s="5">
        <v>0.2</v>
      </c>
      <c r="H25" s="5">
        <v>0.01</v>
      </c>
      <c r="I25" s="4" t="s">
        <v>3</v>
      </c>
      <c r="J25" s="19" t="s">
        <v>3</v>
      </c>
      <c r="K25" s="5">
        <v>50.81</v>
      </c>
      <c r="L25" s="5">
        <v>1.41</v>
      </c>
      <c r="M25" s="5">
        <v>17.39</v>
      </c>
      <c r="N25" s="5">
        <v>3.23</v>
      </c>
      <c r="O25" s="5">
        <v>6.39</v>
      </c>
      <c r="P25" s="5">
        <v>0.27</v>
      </c>
      <c r="Q25" s="5">
        <v>3.06</v>
      </c>
      <c r="R25" s="5">
        <v>7.04</v>
      </c>
      <c r="S25" s="5">
        <v>4.12</v>
      </c>
      <c r="T25" s="5">
        <v>0.95</v>
      </c>
      <c r="U25" s="5">
        <v>0.3</v>
      </c>
      <c r="V25" s="5">
        <v>1909</v>
      </c>
      <c r="W25" s="5">
        <v>1628</v>
      </c>
      <c r="X25" s="5">
        <v>3.4</v>
      </c>
      <c r="Y25" s="5">
        <v>1508</v>
      </c>
      <c r="Z25" s="20">
        <v>98.9</v>
      </c>
      <c r="AA25" s="5">
        <v>1119</v>
      </c>
      <c r="AB25" s="5">
        <v>1018</v>
      </c>
      <c r="AC25" s="5"/>
      <c r="AD25" s="5"/>
      <c r="AE25" s="5">
        <v>-9.3000000000000007</v>
      </c>
      <c r="AF25" s="5">
        <v>0.3</v>
      </c>
      <c r="AG25" s="5">
        <v>339</v>
      </c>
      <c r="AH25" s="20">
        <v>12.8</v>
      </c>
      <c r="AI25" s="5">
        <v>0.43</v>
      </c>
      <c r="AJ25" s="5">
        <v>0.08</v>
      </c>
      <c r="AK25" s="5">
        <v>0.19</v>
      </c>
      <c r="AL25" s="5">
        <v>0.18</v>
      </c>
      <c r="AM25" s="5">
        <v>0.19</v>
      </c>
      <c r="AN25" s="5">
        <v>0.01</v>
      </c>
      <c r="AO25" s="5">
        <v>0.1</v>
      </c>
      <c r="AP25" s="5">
        <v>0.16</v>
      </c>
      <c r="AQ25" s="5">
        <v>0.49</v>
      </c>
      <c r="AR25" s="5">
        <v>0.03</v>
      </c>
      <c r="AS25" s="5">
        <v>0.01</v>
      </c>
      <c r="AT25" s="5">
        <v>127</v>
      </c>
      <c r="AU25" s="5">
        <v>39</v>
      </c>
      <c r="AV25" s="5">
        <v>0.1</v>
      </c>
      <c r="AW25" s="5">
        <v>550</v>
      </c>
      <c r="AX25" s="5">
        <v>9</v>
      </c>
      <c r="AY25" s="5">
        <v>8</v>
      </c>
      <c r="AZ25" s="5"/>
      <c r="BA25" s="5"/>
      <c r="BB25" s="5">
        <v>0.74</v>
      </c>
      <c r="BC25" s="5">
        <v>0.01</v>
      </c>
      <c r="BD25" s="5">
        <v>79</v>
      </c>
      <c r="BE25" s="20">
        <v>2.8</v>
      </c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20"/>
      <c r="CC25" s="5">
        <v>4.3</v>
      </c>
      <c r="CD25" s="5">
        <v>471</v>
      </c>
      <c r="CE25" s="20">
        <v>17.3</v>
      </c>
      <c r="CF25" s="5">
        <v>48.81</v>
      </c>
      <c r="CG25" s="5">
        <v>1.25</v>
      </c>
      <c r="CH25" s="5">
        <v>15.46</v>
      </c>
      <c r="CI25" s="5">
        <v>12.92</v>
      </c>
      <c r="CJ25" s="5">
        <v>0.24</v>
      </c>
      <c r="CK25" s="5">
        <v>5.35</v>
      </c>
      <c r="CL25" s="5">
        <v>6.26</v>
      </c>
      <c r="CM25" s="5">
        <v>3.67</v>
      </c>
      <c r="CN25" s="5">
        <v>0.85</v>
      </c>
      <c r="CO25" s="5">
        <v>0.27</v>
      </c>
      <c r="CP25" s="5">
        <v>1063</v>
      </c>
      <c r="CQ25" s="5">
        <v>565</v>
      </c>
      <c r="CR25" s="5">
        <v>1698</v>
      </c>
      <c r="CS25" s="5">
        <v>1448</v>
      </c>
      <c r="CT25" s="5">
        <v>3.01</v>
      </c>
      <c r="CU25" s="20">
        <v>1341</v>
      </c>
      <c r="CV25" s="5">
        <v>0.43</v>
      </c>
      <c r="CW25" s="5">
        <v>7.0000000000000007E-2</v>
      </c>
      <c r="CX25" s="5">
        <v>0.12</v>
      </c>
      <c r="CY25" s="5">
        <v>0.23</v>
      </c>
      <c r="CZ25" s="5">
        <v>0.01</v>
      </c>
      <c r="DA25" s="5">
        <v>0.28999999999999998</v>
      </c>
      <c r="DB25" s="5">
        <v>0.13</v>
      </c>
      <c r="DC25" s="5">
        <v>0.45</v>
      </c>
      <c r="DD25" s="5">
        <v>0.02</v>
      </c>
      <c r="DE25" s="5">
        <v>0.01</v>
      </c>
      <c r="DF25" s="5">
        <v>13</v>
      </c>
      <c r="DG25" s="5">
        <v>37</v>
      </c>
      <c r="DH25" s="5">
        <v>114</v>
      </c>
      <c r="DI25" s="5">
        <v>35</v>
      </c>
      <c r="DJ25" s="5">
        <v>0.11</v>
      </c>
      <c r="DK25" s="20">
        <v>563</v>
      </c>
      <c r="DL25" s="5">
        <v>38.42</v>
      </c>
      <c r="DM25" s="5">
        <v>24.35</v>
      </c>
      <c r="DN25" s="5">
        <v>0.15</v>
      </c>
      <c r="DO25" s="5">
        <v>38.24</v>
      </c>
      <c r="DP25" s="5">
        <v>0.39</v>
      </c>
      <c r="DQ25" s="20">
        <v>73.7</v>
      </c>
      <c r="DR25" s="5">
        <v>0.02</v>
      </c>
      <c r="DS25" s="5">
        <v>0.28000000000000003</v>
      </c>
      <c r="DT25" s="5">
        <v>0.01</v>
      </c>
      <c r="DU25" s="5">
        <v>0.24</v>
      </c>
      <c r="DV25" s="5">
        <v>0.03</v>
      </c>
      <c r="DW25" s="20">
        <v>0.34</v>
      </c>
      <c r="DX25" s="5"/>
      <c r="DY25" s="5"/>
      <c r="DZ25" s="5"/>
      <c r="EA25" s="5"/>
      <c r="EB25" s="5"/>
      <c r="EC25" s="5"/>
      <c r="ED25" s="5"/>
      <c r="EE25" s="5" t="s">
        <v>322</v>
      </c>
      <c r="EF25" s="5"/>
      <c r="EG25" s="20"/>
      <c r="EH25" s="5"/>
      <c r="EI25" s="5"/>
      <c r="EJ25" s="5"/>
      <c r="EK25" s="5"/>
      <c r="EL25" s="5"/>
      <c r="EM25" s="21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4"/>
    </row>
    <row r="26" spans="1:181" ht="15" x14ac:dyDescent="0.2">
      <c r="A26" s="4" t="s">
        <v>360</v>
      </c>
      <c r="B26" s="4" t="s">
        <v>1</v>
      </c>
      <c r="C26" s="4" t="s">
        <v>314</v>
      </c>
      <c r="D26" s="4" t="s">
        <v>356</v>
      </c>
      <c r="E26" s="5" t="s">
        <v>325</v>
      </c>
      <c r="F26" s="5" t="s">
        <v>317</v>
      </c>
      <c r="G26" s="5">
        <v>0.2</v>
      </c>
      <c r="H26" s="5">
        <v>0.01</v>
      </c>
      <c r="I26" s="4" t="s">
        <v>3</v>
      </c>
      <c r="J26" s="19" t="s">
        <v>3</v>
      </c>
      <c r="K26" s="5">
        <v>46.8</v>
      </c>
      <c r="L26" s="5">
        <v>1.19</v>
      </c>
      <c r="M26" s="5">
        <v>19.14</v>
      </c>
      <c r="N26" s="5">
        <v>3.92</v>
      </c>
      <c r="O26" s="5">
        <v>5.53</v>
      </c>
      <c r="P26" s="5">
        <v>0.33</v>
      </c>
      <c r="Q26" s="5">
        <v>2.59</v>
      </c>
      <c r="R26" s="5">
        <v>9.7799999999999994</v>
      </c>
      <c r="S26" s="5">
        <v>3.46</v>
      </c>
      <c r="T26" s="5">
        <v>0.61</v>
      </c>
      <c r="U26" s="5">
        <v>0.18</v>
      </c>
      <c r="V26" s="5">
        <v>2677</v>
      </c>
      <c r="W26" s="5">
        <v>1292</v>
      </c>
      <c r="X26" s="5">
        <v>4</v>
      </c>
      <c r="Y26" s="5">
        <v>3409</v>
      </c>
      <c r="Z26" s="20">
        <v>98.3</v>
      </c>
      <c r="AA26" s="5">
        <v>1117</v>
      </c>
      <c r="AB26" s="5">
        <v>970</v>
      </c>
      <c r="AC26" s="5"/>
      <c r="AD26" s="5"/>
      <c r="AE26" s="5">
        <v>-12.9</v>
      </c>
      <c r="AF26" s="5">
        <v>0.3</v>
      </c>
      <c r="AG26" s="5">
        <v>333</v>
      </c>
      <c r="AH26" s="20">
        <v>12.6</v>
      </c>
      <c r="AI26" s="5">
        <v>7.0000000000000007E-2</v>
      </c>
      <c r="AJ26" s="5">
        <v>0.03</v>
      </c>
      <c r="AK26" s="5">
        <v>0.15</v>
      </c>
      <c r="AL26" s="5">
        <v>0.18</v>
      </c>
      <c r="AM26" s="5">
        <v>0.19</v>
      </c>
      <c r="AN26" s="5">
        <v>0</v>
      </c>
      <c r="AO26" s="5">
        <v>0.1</v>
      </c>
      <c r="AP26" s="5">
        <v>0.12</v>
      </c>
      <c r="AQ26" s="5">
        <v>0.28000000000000003</v>
      </c>
      <c r="AR26" s="5">
        <v>0.04</v>
      </c>
      <c r="AS26" s="5">
        <v>0.02</v>
      </c>
      <c r="AT26" s="5">
        <v>157</v>
      </c>
      <c r="AU26" s="5">
        <v>80</v>
      </c>
      <c r="AV26" s="5">
        <v>0.1</v>
      </c>
      <c r="AW26" s="5">
        <v>637</v>
      </c>
      <c r="AX26" s="5">
        <v>6</v>
      </c>
      <c r="AY26" s="5">
        <v>6</v>
      </c>
      <c r="AZ26" s="5"/>
      <c r="BA26" s="5"/>
      <c r="BB26" s="5">
        <v>0.57999999999999996</v>
      </c>
      <c r="BC26" s="5">
        <v>0</v>
      </c>
      <c r="BD26" s="5">
        <v>32</v>
      </c>
      <c r="BE26" s="20">
        <v>1.1000000000000001</v>
      </c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20"/>
      <c r="CC26" s="5">
        <v>4.2</v>
      </c>
      <c r="CD26" s="5">
        <v>509</v>
      </c>
      <c r="CE26" s="20">
        <v>18.600000000000001</v>
      </c>
      <c r="CF26" s="5">
        <v>44.36</v>
      </c>
      <c r="CG26" s="5">
        <v>1</v>
      </c>
      <c r="CH26" s="5">
        <v>16.059999999999999</v>
      </c>
      <c r="CI26" s="5">
        <v>14.79</v>
      </c>
      <c r="CJ26" s="5">
        <v>0.27</v>
      </c>
      <c r="CK26" s="5">
        <v>5.59</v>
      </c>
      <c r="CL26" s="5">
        <v>8.2100000000000009</v>
      </c>
      <c r="CM26" s="5">
        <v>2.91</v>
      </c>
      <c r="CN26" s="5">
        <v>0.51</v>
      </c>
      <c r="CO26" s="5">
        <v>0.15</v>
      </c>
      <c r="CP26" s="5">
        <v>1407</v>
      </c>
      <c r="CQ26" s="5">
        <v>565</v>
      </c>
      <c r="CR26" s="5">
        <v>2247</v>
      </c>
      <c r="CS26" s="5">
        <v>1084</v>
      </c>
      <c r="CT26" s="5">
        <v>3.37</v>
      </c>
      <c r="CU26" s="20">
        <v>2861</v>
      </c>
      <c r="CV26" s="5">
        <v>7.0000000000000007E-2</v>
      </c>
      <c r="CW26" s="5">
        <v>0.03</v>
      </c>
      <c r="CX26" s="5">
        <v>7.0000000000000007E-2</v>
      </c>
      <c r="CY26" s="5">
        <v>0.15</v>
      </c>
      <c r="CZ26" s="5">
        <v>0</v>
      </c>
      <c r="DA26" s="5">
        <v>0.25</v>
      </c>
      <c r="DB26" s="5">
        <v>7.0000000000000007E-2</v>
      </c>
      <c r="DC26" s="5">
        <v>0.23</v>
      </c>
      <c r="DD26" s="5">
        <v>0.03</v>
      </c>
      <c r="DE26" s="5">
        <v>0.02</v>
      </c>
      <c r="DF26" s="5">
        <v>15</v>
      </c>
      <c r="DG26" s="5">
        <v>37</v>
      </c>
      <c r="DH26" s="5">
        <v>150</v>
      </c>
      <c r="DI26" s="5">
        <v>72</v>
      </c>
      <c r="DJ26" s="5">
        <v>0.05</v>
      </c>
      <c r="DK26" s="20">
        <v>501</v>
      </c>
      <c r="DL26" s="5">
        <v>38.64</v>
      </c>
      <c r="DM26" s="5">
        <v>24.52</v>
      </c>
      <c r="DN26" s="5">
        <v>0.16</v>
      </c>
      <c r="DO26" s="5">
        <v>37.92</v>
      </c>
      <c r="DP26" s="5">
        <v>0.39</v>
      </c>
      <c r="DQ26" s="20">
        <v>73.400000000000006</v>
      </c>
      <c r="DR26" s="5">
        <v>0.14000000000000001</v>
      </c>
      <c r="DS26" s="5">
        <v>0.14000000000000001</v>
      </c>
      <c r="DT26" s="5">
        <v>0.02</v>
      </c>
      <c r="DU26" s="5">
        <v>0.11</v>
      </c>
      <c r="DV26" s="5">
        <v>0</v>
      </c>
      <c r="DW26" s="20">
        <v>0.1</v>
      </c>
      <c r="DX26" s="5"/>
      <c r="DY26" s="5"/>
      <c r="DZ26" s="5"/>
      <c r="EA26" s="5"/>
      <c r="EB26" s="5"/>
      <c r="EC26" s="5"/>
      <c r="ED26" s="5"/>
      <c r="EE26" s="5" t="s">
        <v>3</v>
      </c>
      <c r="EF26" s="5"/>
      <c r="EG26" s="20"/>
      <c r="EH26" s="5"/>
      <c r="EI26" s="5"/>
      <c r="EJ26" s="5"/>
      <c r="EK26" s="5"/>
      <c r="EL26" s="5"/>
      <c r="EM26" s="21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4"/>
    </row>
    <row r="27" spans="1:181" ht="15" x14ac:dyDescent="0.2">
      <c r="A27" s="4" t="s">
        <v>361</v>
      </c>
      <c r="B27" s="4" t="s">
        <v>1</v>
      </c>
      <c r="C27" s="4" t="s">
        <v>314</v>
      </c>
      <c r="D27" s="4" t="s">
        <v>356</v>
      </c>
      <c r="E27" s="5" t="s">
        <v>325</v>
      </c>
      <c r="F27" s="5" t="s">
        <v>317</v>
      </c>
      <c r="G27" s="5">
        <v>0.2</v>
      </c>
      <c r="H27" s="5">
        <v>0.01</v>
      </c>
      <c r="I27" s="4" t="s">
        <v>3</v>
      </c>
      <c r="J27" s="19" t="s">
        <v>3</v>
      </c>
      <c r="K27" s="5">
        <v>49.41</v>
      </c>
      <c r="L27" s="5">
        <v>1.02</v>
      </c>
      <c r="M27" s="5">
        <v>17.36</v>
      </c>
      <c r="N27" s="5">
        <v>2.9</v>
      </c>
      <c r="O27" s="5">
        <v>6.81</v>
      </c>
      <c r="P27" s="5">
        <v>0.25</v>
      </c>
      <c r="Q27" s="5">
        <v>3.53</v>
      </c>
      <c r="R27" s="5">
        <v>8.41</v>
      </c>
      <c r="S27" s="5">
        <v>3.47</v>
      </c>
      <c r="T27" s="5">
        <v>0.73</v>
      </c>
      <c r="U27" s="5">
        <v>0.23</v>
      </c>
      <c r="V27" s="5">
        <v>1907</v>
      </c>
      <c r="W27" s="5">
        <v>1253</v>
      </c>
      <c r="X27" s="5">
        <v>4.8</v>
      </c>
      <c r="Y27" s="5">
        <v>1233</v>
      </c>
      <c r="Z27" s="20">
        <v>99.3</v>
      </c>
      <c r="AA27" s="5">
        <v>1099</v>
      </c>
      <c r="AB27" s="5">
        <v>1013</v>
      </c>
      <c r="AC27" s="5"/>
      <c r="AD27" s="5"/>
      <c r="AE27" s="5">
        <v>-8</v>
      </c>
      <c r="AF27" s="5">
        <v>0.32</v>
      </c>
      <c r="AG27" s="5">
        <v>353</v>
      </c>
      <c r="AH27" s="20">
        <v>13.3</v>
      </c>
      <c r="AI27" s="5">
        <v>0.44</v>
      </c>
      <c r="AJ27" s="5">
        <v>0.04</v>
      </c>
      <c r="AK27" s="5">
        <v>0.17</v>
      </c>
      <c r="AL27" s="5">
        <v>0.16</v>
      </c>
      <c r="AM27" s="5">
        <v>0.14000000000000001</v>
      </c>
      <c r="AN27" s="5">
        <v>0.01</v>
      </c>
      <c r="AO27" s="5">
        <v>0.1</v>
      </c>
      <c r="AP27" s="5">
        <v>0.1</v>
      </c>
      <c r="AQ27" s="5">
        <v>0.25</v>
      </c>
      <c r="AR27" s="5">
        <v>0.01</v>
      </c>
      <c r="AS27" s="5">
        <v>0.01</v>
      </c>
      <c r="AT27" s="5">
        <v>144</v>
      </c>
      <c r="AU27" s="5">
        <v>57</v>
      </c>
      <c r="AV27" s="5">
        <v>0.2</v>
      </c>
      <c r="AW27" s="5">
        <v>194</v>
      </c>
      <c r="AX27" s="5">
        <v>3</v>
      </c>
      <c r="AY27" s="5">
        <v>5</v>
      </c>
      <c r="AZ27" s="5"/>
      <c r="BA27" s="5"/>
      <c r="BB27" s="5">
        <v>0.37</v>
      </c>
      <c r="BC27" s="5">
        <v>0</v>
      </c>
      <c r="BD27" s="5">
        <v>35</v>
      </c>
      <c r="BE27" s="20">
        <v>1.2</v>
      </c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20"/>
      <c r="CC27" s="5">
        <v>4.5</v>
      </c>
      <c r="CD27" s="5">
        <v>445</v>
      </c>
      <c r="CE27" s="20">
        <v>16.399999999999999</v>
      </c>
      <c r="CF27" s="5">
        <v>48.04</v>
      </c>
      <c r="CG27" s="5">
        <v>0.93</v>
      </c>
      <c r="CH27" s="5">
        <v>15.79</v>
      </c>
      <c r="CI27" s="5">
        <v>11.87</v>
      </c>
      <c r="CJ27" s="5">
        <v>0.23</v>
      </c>
      <c r="CK27" s="5">
        <v>5.75</v>
      </c>
      <c r="CL27" s="5">
        <v>7.65</v>
      </c>
      <c r="CM27" s="5">
        <v>3.16</v>
      </c>
      <c r="CN27" s="5">
        <v>0.66</v>
      </c>
      <c r="CO27" s="5">
        <v>0.21</v>
      </c>
      <c r="CP27" s="5">
        <v>1086</v>
      </c>
      <c r="CQ27" s="5">
        <v>565</v>
      </c>
      <c r="CR27" s="5">
        <v>1734</v>
      </c>
      <c r="CS27" s="5">
        <v>1140</v>
      </c>
      <c r="CT27" s="5">
        <v>4.3499999999999996</v>
      </c>
      <c r="CU27" s="20">
        <v>1121</v>
      </c>
      <c r="CV27" s="5">
        <v>0.52</v>
      </c>
      <c r="CW27" s="5">
        <v>0.03</v>
      </c>
      <c r="CX27" s="5">
        <v>0.11</v>
      </c>
      <c r="CY27" s="5">
        <v>0.14000000000000001</v>
      </c>
      <c r="CZ27" s="5">
        <v>0.01</v>
      </c>
      <c r="DA27" s="5">
        <v>0.1</v>
      </c>
      <c r="DB27" s="5">
        <v>0.08</v>
      </c>
      <c r="DC27" s="5">
        <v>0.24</v>
      </c>
      <c r="DD27" s="5">
        <v>0.01</v>
      </c>
      <c r="DE27" s="5">
        <v>0.01</v>
      </c>
      <c r="DF27" s="5">
        <v>44</v>
      </c>
      <c r="DG27" s="5">
        <v>37</v>
      </c>
      <c r="DH27" s="5">
        <v>134</v>
      </c>
      <c r="DI27" s="5">
        <v>44</v>
      </c>
      <c r="DJ27" s="5">
        <v>0.16</v>
      </c>
      <c r="DK27" s="20">
        <v>186</v>
      </c>
      <c r="DL27" s="5">
        <v>39.83</v>
      </c>
      <c r="DM27" s="5">
        <v>22.97</v>
      </c>
      <c r="DN27" s="5">
        <v>0.13</v>
      </c>
      <c r="DO27" s="5">
        <v>37.58</v>
      </c>
      <c r="DP27" s="5">
        <v>0.34</v>
      </c>
      <c r="DQ27" s="20">
        <v>74.5</v>
      </c>
      <c r="DR27" s="5">
        <v>0.1</v>
      </c>
      <c r="DS27" s="5">
        <v>0.22</v>
      </c>
      <c r="DT27" s="5">
        <v>0.02</v>
      </c>
      <c r="DU27" s="5">
        <v>0.2</v>
      </c>
      <c r="DV27" s="5">
        <v>0.01</v>
      </c>
      <c r="DW27" s="20">
        <v>0.18</v>
      </c>
      <c r="DX27" s="5"/>
      <c r="DY27" s="5"/>
      <c r="DZ27" s="5"/>
      <c r="EA27" s="5"/>
      <c r="EB27" s="5"/>
      <c r="EC27" s="5"/>
      <c r="ED27" s="5"/>
      <c r="EE27" s="5" t="s">
        <v>322</v>
      </c>
      <c r="EF27" s="5"/>
      <c r="EG27" s="20"/>
      <c r="EH27" s="5"/>
      <c r="EI27" s="5"/>
      <c r="EJ27" s="5"/>
      <c r="EK27" s="5"/>
      <c r="EL27" s="5"/>
      <c r="EM27" s="21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4"/>
    </row>
    <row r="28" spans="1:181" ht="15" x14ac:dyDescent="0.2">
      <c r="A28" s="4" t="s">
        <v>362</v>
      </c>
      <c r="B28" s="4" t="s">
        <v>1</v>
      </c>
      <c r="C28" s="4" t="s">
        <v>314</v>
      </c>
      <c r="D28" s="4" t="s">
        <v>356</v>
      </c>
      <c r="E28" s="5" t="s">
        <v>325</v>
      </c>
      <c r="F28" s="5" t="s">
        <v>317</v>
      </c>
      <c r="G28" s="5">
        <v>0.2</v>
      </c>
      <c r="H28" s="5">
        <v>0.01</v>
      </c>
      <c r="I28" s="4" t="s">
        <v>3</v>
      </c>
      <c r="J28" s="19" t="s">
        <v>3</v>
      </c>
      <c r="K28" s="5">
        <v>47.23</v>
      </c>
      <c r="L28" s="5">
        <v>1.2</v>
      </c>
      <c r="M28" s="5">
        <v>18.329999999999998</v>
      </c>
      <c r="N28" s="5">
        <v>3.52</v>
      </c>
      <c r="O28" s="5">
        <v>6.37</v>
      </c>
      <c r="P28" s="5">
        <v>0.25</v>
      </c>
      <c r="Q28" s="5">
        <v>3.43</v>
      </c>
      <c r="R28" s="5">
        <v>10.16</v>
      </c>
      <c r="S28" s="5">
        <v>3.16</v>
      </c>
      <c r="T28" s="5">
        <v>0.5</v>
      </c>
      <c r="U28" s="5">
        <v>0.17</v>
      </c>
      <c r="V28" s="5">
        <v>2455</v>
      </c>
      <c r="W28" s="5">
        <v>1152</v>
      </c>
      <c r="X28" s="5">
        <v>4.2</v>
      </c>
      <c r="Y28" s="5">
        <v>2584</v>
      </c>
      <c r="Z28" s="20">
        <v>99.1</v>
      </c>
      <c r="AA28" s="5">
        <v>1116</v>
      </c>
      <c r="AB28" s="5">
        <v>1004</v>
      </c>
      <c r="AC28" s="5"/>
      <c r="AD28" s="5"/>
      <c r="AE28" s="5">
        <v>-10.7</v>
      </c>
      <c r="AF28" s="5">
        <v>0.31</v>
      </c>
      <c r="AG28" s="5">
        <v>331</v>
      </c>
      <c r="AH28" s="20">
        <v>12.5</v>
      </c>
      <c r="AI28" s="5">
        <v>0.46</v>
      </c>
      <c r="AJ28" s="5">
        <v>0.03</v>
      </c>
      <c r="AK28" s="5">
        <v>0.09</v>
      </c>
      <c r="AL28" s="5">
        <v>0.18</v>
      </c>
      <c r="AM28" s="5">
        <v>0.19</v>
      </c>
      <c r="AN28" s="5">
        <v>0.01</v>
      </c>
      <c r="AO28" s="5">
        <v>0.12</v>
      </c>
      <c r="AP28" s="5">
        <v>0.27</v>
      </c>
      <c r="AQ28" s="5">
        <v>0.11</v>
      </c>
      <c r="AR28" s="5">
        <v>0.01</v>
      </c>
      <c r="AS28" s="5">
        <v>0</v>
      </c>
      <c r="AT28" s="5">
        <v>165</v>
      </c>
      <c r="AU28" s="5">
        <v>49</v>
      </c>
      <c r="AV28" s="5">
        <v>0.2</v>
      </c>
      <c r="AW28" s="5">
        <v>169</v>
      </c>
      <c r="AX28" s="5">
        <v>2</v>
      </c>
      <c r="AY28" s="5">
        <v>6</v>
      </c>
      <c r="AZ28" s="5"/>
      <c r="BA28" s="5"/>
      <c r="BB28" s="5">
        <v>0.32</v>
      </c>
      <c r="BC28" s="5">
        <v>0</v>
      </c>
      <c r="BD28" s="5">
        <v>18</v>
      </c>
      <c r="BE28" s="20">
        <v>0.6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20"/>
      <c r="CC28" s="5">
        <v>5.2</v>
      </c>
      <c r="CD28" s="5">
        <v>535</v>
      </c>
      <c r="CE28" s="20">
        <v>19.5</v>
      </c>
      <c r="CF28" s="5">
        <v>45.33</v>
      </c>
      <c r="CG28" s="5">
        <v>1.04</v>
      </c>
      <c r="CH28" s="5">
        <v>15.96</v>
      </c>
      <c r="CI28" s="5">
        <v>13.8</v>
      </c>
      <c r="CJ28" s="5">
        <v>0.21</v>
      </c>
      <c r="CK28" s="5">
        <v>6.03</v>
      </c>
      <c r="CL28" s="5">
        <v>8.84</v>
      </c>
      <c r="CM28" s="5">
        <v>2.75</v>
      </c>
      <c r="CN28" s="5">
        <v>0.44</v>
      </c>
      <c r="CO28" s="5">
        <v>0.15</v>
      </c>
      <c r="CP28" s="5">
        <v>1339</v>
      </c>
      <c r="CQ28" s="5">
        <v>565</v>
      </c>
      <c r="CR28" s="5">
        <v>2137</v>
      </c>
      <c r="CS28" s="5">
        <v>1002</v>
      </c>
      <c r="CT28" s="5">
        <v>3.63</v>
      </c>
      <c r="CU28" s="20">
        <v>2249</v>
      </c>
      <c r="CV28" s="5">
        <v>0.41</v>
      </c>
      <c r="CW28" s="5">
        <v>0.02</v>
      </c>
      <c r="CX28" s="5">
        <v>0.03</v>
      </c>
      <c r="CY28" s="5">
        <v>0.15</v>
      </c>
      <c r="CZ28" s="5">
        <v>0.01</v>
      </c>
      <c r="DA28" s="5">
        <v>0.03</v>
      </c>
      <c r="DB28" s="5">
        <v>0.21</v>
      </c>
      <c r="DC28" s="5">
        <v>0.1</v>
      </c>
      <c r="DD28" s="5">
        <v>0.01</v>
      </c>
      <c r="DE28" s="5">
        <v>0</v>
      </c>
      <c r="DF28" s="5">
        <v>51</v>
      </c>
      <c r="DG28" s="5">
        <v>37</v>
      </c>
      <c r="DH28" s="5">
        <v>163</v>
      </c>
      <c r="DI28" s="5">
        <v>39</v>
      </c>
      <c r="DJ28" s="5">
        <v>0.16</v>
      </c>
      <c r="DK28" s="20">
        <v>124</v>
      </c>
      <c r="DL28" s="5">
        <v>39.590000000000003</v>
      </c>
      <c r="DM28" s="5">
        <v>22.6</v>
      </c>
      <c r="DN28" s="5">
        <v>0.14000000000000001</v>
      </c>
      <c r="DO28" s="5">
        <v>39.21</v>
      </c>
      <c r="DP28" s="5">
        <v>0.31</v>
      </c>
      <c r="DQ28" s="20">
        <v>75.599999999999994</v>
      </c>
      <c r="DR28" s="5">
        <v>0.02</v>
      </c>
      <c r="DS28" s="5">
        <v>0.06</v>
      </c>
      <c r="DT28" s="5">
        <v>0.03</v>
      </c>
      <c r="DU28" s="5">
        <v>0.05</v>
      </c>
      <c r="DV28" s="5">
        <v>0.01</v>
      </c>
      <c r="DW28" s="20">
        <v>0.06</v>
      </c>
      <c r="DX28" s="5"/>
      <c r="DY28" s="5"/>
      <c r="DZ28" s="5"/>
      <c r="EA28" s="5"/>
      <c r="EB28" s="5"/>
      <c r="EC28" s="5"/>
      <c r="ED28" s="5"/>
      <c r="EE28" s="5" t="s">
        <v>322</v>
      </c>
      <c r="EF28" s="5"/>
      <c r="EG28" s="20"/>
      <c r="EH28" s="5"/>
      <c r="EI28" s="5"/>
      <c r="EJ28" s="5"/>
      <c r="EK28" s="5"/>
      <c r="EL28" s="5"/>
      <c r="EM28" s="21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4"/>
    </row>
    <row r="30" spans="1:181" ht="15" x14ac:dyDescent="0.2">
      <c r="A30" s="42" t="s">
        <v>363</v>
      </c>
      <c r="B30" s="43"/>
      <c r="C30" s="43"/>
      <c r="D30" s="4"/>
      <c r="E30" s="4"/>
      <c r="F30" s="4"/>
      <c r="G30" s="5"/>
      <c r="H30" s="5"/>
      <c r="I30" s="4"/>
      <c r="J30" s="19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20"/>
      <c r="AA30" s="5"/>
      <c r="AB30" s="5"/>
      <c r="AC30" s="5"/>
      <c r="AD30" s="5"/>
      <c r="AE30" s="5"/>
      <c r="AF30" s="5"/>
      <c r="AG30" s="5"/>
      <c r="AH30" s="20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20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20"/>
      <c r="CC30" s="5"/>
      <c r="CD30" s="5"/>
      <c r="CE30" s="20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20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20"/>
      <c r="DL30" s="5"/>
      <c r="DM30" s="5"/>
      <c r="DN30" s="5"/>
      <c r="DO30" s="5"/>
      <c r="DP30" s="5"/>
      <c r="DQ30" s="20"/>
      <c r="DR30" s="5"/>
      <c r="DS30" s="5"/>
      <c r="DT30" s="5"/>
      <c r="DU30" s="5"/>
      <c r="DV30" s="5"/>
      <c r="DW30" s="20"/>
      <c r="DX30" s="5"/>
      <c r="DY30" s="5"/>
      <c r="DZ30" s="5"/>
      <c r="EA30" s="5"/>
      <c r="EB30" s="5"/>
      <c r="EC30" s="5"/>
      <c r="ED30" s="5"/>
      <c r="EE30" s="5"/>
      <c r="EF30" s="5"/>
      <c r="EG30" s="20"/>
      <c r="EH30" s="5"/>
      <c r="EI30" s="5"/>
      <c r="EJ30" s="5"/>
      <c r="EK30" s="5"/>
      <c r="EL30" s="5"/>
      <c r="EM30" s="21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4"/>
    </row>
    <row r="31" spans="1:181" ht="15" x14ac:dyDescent="0.2">
      <c r="A31" s="4" t="s">
        <v>364</v>
      </c>
      <c r="B31" s="4" t="s">
        <v>1</v>
      </c>
      <c r="C31" s="4" t="s">
        <v>2</v>
      </c>
      <c r="D31" s="4" t="s">
        <v>3</v>
      </c>
      <c r="E31" s="5" t="s">
        <v>3</v>
      </c>
      <c r="F31" s="5" t="s">
        <v>317</v>
      </c>
      <c r="G31" s="5">
        <v>0.2</v>
      </c>
      <c r="H31" s="5">
        <v>0.01</v>
      </c>
      <c r="I31" s="5">
        <v>1.5</v>
      </c>
      <c r="J31" s="20">
        <v>0.3</v>
      </c>
      <c r="K31" s="5">
        <v>49.88</v>
      </c>
      <c r="L31" s="5">
        <v>1.19</v>
      </c>
      <c r="M31" s="5">
        <v>16.8</v>
      </c>
      <c r="N31" s="5">
        <v>2.2400000000000002</v>
      </c>
      <c r="O31" s="5">
        <v>7.67</v>
      </c>
      <c r="P31" s="5">
        <v>0.19</v>
      </c>
      <c r="Q31" s="5">
        <v>3.78</v>
      </c>
      <c r="R31" s="5">
        <v>8.0399999999999991</v>
      </c>
      <c r="S31" s="5">
        <v>3.43</v>
      </c>
      <c r="T31" s="5">
        <v>0.81</v>
      </c>
      <c r="U31" s="5">
        <v>0.23</v>
      </c>
      <c r="V31" s="5">
        <v>1967</v>
      </c>
      <c r="W31" s="5">
        <v>1130</v>
      </c>
      <c r="X31" s="5">
        <v>4.22</v>
      </c>
      <c r="Y31" s="5">
        <v>299</v>
      </c>
      <c r="Z31" s="20">
        <v>98.8</v>
      </c>
      <c r="AA31" s="5">
        <v>1052</v>
      </c>
      <c r="AB31" s="5">
        <v>1040</v>
      </c>
      <c r="AC31" s="5">
        <v>787</v>
      </c>
      <c r="AD31" s="5">
        <v>1006</v>
      </c>
      <c r="AE31" s="5">
        <v>-1.7</v>
      </c>
      <c r="AF31" s="5">
        <v>0.32</v>
      </c>
      <c r="AG31" s="5">
        <v>239</v>
      </c>
      <c r="AH31" s="20">
        <v>9.3000000000000007</v>
      </c>
      <c r="AI31" s="5">
        <v>2.2000000000000002</v>
      </c>
      <c r="AJ31" s="5">
        <v>7.0000000000000007E-2</v>
      </c>
      <c r="AK31" s="5">
        <v>0.82</v>
      </c>
      <c r="AL31" s="5">
        <v>0.16</v>
      </c>
      <c r="AM31" s="5">
        <v>0.49</v>
      </c>
      <c r="AN31" s="5">
        <v>0.01</v>
      </c>
      <c r="AO31" s="5">
        <v>0.51</v>
      </c>
      <c r="AP31" s="5">
        <v>0.37</v>
      </c>
      <c r="AQ31" s="5">
        <v>0.15</v>
      </c>
      <c r="AR31" s="5">
        <v>0.04</v>
      </c>
      <c r="AS31" s="5">
        <v>0.01</v>
      </c>
      <c r="AT31" s="5">
        <v>105</v>
      </c>
      <c r="AU31" s="5">
        <v>58</v>
      </c>
      <c r="AV31" s="5">
        <v>0.2</v>
      </c>
      <c r="AW31" s="5">
        <v>16</v>
      </c>
      <c r="AX31" s="5">
        <v>8</v>
      </c>
      <c r="AY31" s="5">
        <v>15</v>
      </c>
      <c r="AZ31" s="5">
        <v>119</v>
      </c>
      <c r="BA31" s="5">
        <v>128</v>
      </c>
      <c r="BB31" s="5">
        <v>1.0900000000000001</v>
      </c>
      <c r="BC31" s="5">
        <v>0</v>
      </c>
      <c r="BD31" s="5">
        <v>15</v>
      </c>
      <c r="BE31" s="20">
        <v>0.5</v>
      </c>
      <c r="BF31" s="5">
        <v>0</v>
      </c>
      <c r="BG31" s="5">
        <v>0.1</v>
      </c>
      <c r="BH31" s="5">
        <v>1.4</v>
      </c>
      <c r="BI31" s="5">
        <v>1.1599999999999999</v>
      </c>
      <c r="BJ31" s="5"/>
      <c r="BK31" s="5"/>
      <c r="BL31" s="5"/>
      <c r="BM31" s="5">
        <v>299</v>
      </c>
      <c r="BN31" s="5">
        <v>15</v>
      </c>
      <c r="BO31" s="5">
        <v>1113</v>
      </c>
      <c r="BP31" s="5">
        <v>389</v>
      </c>
      <c r="BQ31" s="5"/>
      <c r="BR31" s="5"/>
      <c r="BS31" s="5">
        <v>239</v>
      </c>
      <c r="BT31" s="5">
        <v>16</v>
      </c>
      <c r="BU31" s="5">
        <v>405</v>
      </c>
      <c r="BV31" s="5">
        <v>74</v>
      </c>
      <c r="BW31" s="5"/>
      <c r="BX31" s="5"/>
      <c r="BY31" s="5">
        <v>9.3000000000000007</v>
      </c>
      <c r="BZ31" s="5">
        <v>0.6</v>
      </c>
      <c r="CA31" s="5">
        <v>15.1</v>
      </c>
      <c r="CB31" s="20">
        <v>2.5</v>
      </c>
      <c r="CC31" s="5">
        <v>4</v>
      </c>
      <c r="CD31" s="5">
        <v>388</v>
      </c>
      <c r="CE31" s="20">
        <v>14.5</v>
      </c>
      <c r="CF31" s="5">
        <v>49.67</v>
      </c>
      <c r="CG31" s="5">
        <v>1.17</v>
      </c>
      <c r="CH31" s="5">
        <v>16.5</v>
      </c>
      <c r="CI31" s="5">
        <v>9.92</v>
      </c>
      <c r="CJ31" s="5">
        <v>0.19</v>
      </c>
      <c r="CK31" s="5">
        <v>4.38</v>
      </c>
      <c r="CL31" s="5">
        <v>7.9</v>
      </c>
      <c r="CM31" s="5">
        <v>3.37</v>
      </c>
      <c r="CN31" s="5">
        <v>0.79</v>
      </c>
      <c r="CO31" s="5">
        <v>0.22</v>
      </c>
      <c r="CP31" s="5">
        <v>1933</v>
      </c>
      <c r="CQ31" s="5"/>
      <c r="CR31" s="5"/>
      <c r="CS31" s="5">
        <v>1111</v>
      </c>
      <c r="CT31" s="5">
        <v>4.1500000000000004</v>
      </c>
      <c r="CU31" s="20">
        <v>294</v>
      </c>
      <c r="CV31" s="5">
        <v>2.48</v>
      </c>
      <c r="CW31" s="5">
        <v>0.06</v>
      </c>
      <c r="CX31" s="5">
        <v>0.83</v>
      </c>
      <c r="CY31" s="5">
        <v>0.5</v>
      </c>
      <c r="CZ31" s="5">
        <v>0.01</v>
      </c>
      <c r="DA31" s="5">
        <v>0.22</v>
      </c>
      <c r="DB31" s="5">
        <v>0.4</v>
      </c>
      <c r="DC31" s="5">
        <v>0.17</v>
      </c>
      <c r="DD31" s="5">
        <v>0.04</v>
      </c>
      <c r="DE31" s="5">
        <v>0.01</v>
      </c>
      <c r="DF31" s="5">
        <v>97</v>
      </c>
      <c r="DG31" s="5"/>
      <c r="DH31" s="5"/>
      <c r="DI31" s="5">
        <v>56</v>
      </c>
      <c r="DJ31" s="5">
        <v>0.21</v>
      </c>
      <c r="DK31" s="20">
        <v>15</v>
      </c>
      <c r="DL31" s="5"/>
      <c r="DM31" s="5"/>
      <c r="DN31" s="5"/>
      <c r="DO31" s="5"/>
      <c r="DP31" s="5"/>
      <c r="DQ31" s="20">
        <v>73.400000000000006</v>
      </c>
      <c r="DR31" s="5"/>
      <c r="DS31" s="5"/>
      <c r="DT31" s="5"/>
      <c r="DU31" s="5"/>
      <c r="DV31" s="5"/>
      <c r="DW31" s="20">
        <v>2</v>
      </c>
      <c r="DX31" s="5"/>
      <c r="DY31" s="5"/>
      <c r="DZ31" s="5"/>
      <c r="EA31" s="5"/>
      <c r="EB31" s="5">
        <v>132</v>
      </c>
      <c r="EC31" s="5"/>
      <c r="ED31" s="5"/>
      <c r="EE31" s="5"/>
      <c r="EF31" s="5"/>
      <c r="EG31" s="20"/>
      <c r="EH31" s="5"/>
      <c r="EI31" s="5"/>
      <c r="EJ31" s="5"/>
      <c r="EK31" s="5"/>
      <c r="EL31" s="5"/>
      <c r="EM31" s="21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4"/>
    </row>
    <row r="32" spans="1:181" ht="15" x14ac:dyDescent="0.2">
      <c r="A32" s="4" t="s">
        <v>365</v>
      </c>
      <c r="B32" s="4" t="s">
        <v>1</v>
      </c>
      <c r="C32" s="4" t="s">
        <v>2</v>
      </c>
      <c r="D32" s="4" t="s">
        <v>3</v>
      </c>
      <c r="E32" s="5" t="s">
        <v>3</v>
      </c>
      <c r="F32" s="5" t="s">
        <v>317</v>
      </c>
      <c r="G32" s="5">
        <v>0.2</v>
      </c>
      <c r="H32" s="5">
        <v>0.01</v>
      </c>
      <c r="I32" s="5">
        <v>1.5</v>
      </c>
      <c r="J32" s="20">
        <v>0.3</v>
      </c>
      <c r="K32" s="5">
        <v>51.49</v>
      </c>
      <c r="L32" s="5">
        <v>1.1499999999999999</v>
      </c>
      <c r="M32" s="5">
        <v>17.7</v>
      </c>
      <c r="N32" s="5">
        <v>2.0699999999999998</v>
      </c>
      <c r="O32" s="5">
        <v>7.15</v>
      </c>
      <c r="P32" s="5">
        <v>0.19</v>
      </c>
      <c r="Q32" s="5">
        <v>3.45</v>
      </c>
      <c r="R32" s="5">
        <v>7.48</v>
      </c>
      <c r="S32" s="5">
        <v>3.66</v>
      </c>
      <c r="T32" s="5">
        <v>0.86</v>
      </c>
      <c r="U32" s="5">
        <v>0.26</v>
      </c>
      <c r="V32" s="5">
        <v>1619</v>
      </c>
      <c r="W32" s="5">
        <v>1161</v>
      </c>
      <c r="X32" s="5">
        <v>4.17</v>
      </c>
      <c r="Y32" s="5">
        <v>248</v>
      </c>
      <c r="Z32" s="20">
        <v>99.9</v>
      </c>
      <c r="AA32" s="5">
        <v>1034</v>
      </c>
      <c r="AB32" s="5">
        <v>1028</v>
      </c>
      <c r="AC32" s="5">
        <v>724</v>
      </c>
      <c r="AD32" s="5">
        <v>961</v>
      </c>
      <c r="AE32" s="5">
        <v>-1.2</v>
      </c>
      <c r="AF32" s="5">
        <v>0.32</v>
      </c>
      <c r="AG32" s="5">
        <v>228</v>
      </c>
      <c r="AH32" s="20">
        <v>8.9</v>
      </c>
      <c r="AI32" s="5">
        <v>2.0699999999999998</v>
      </c>
      <c r="AJ32" s="5">
        <v>0.05</v>
      </c>
      <c r="AK32" s="5">
        <v>0.86</v>
      </c>
      <c r="AL32" s="5">
        <v>0.15</v>
      </c>
      <c r="AM32" s="5">
        <v>0.35</v>
      </c>
      <c r="AN32" s="5">
        <v>0.01</v>
      </c>
      <c r="AO32" s="5">
        <v>0.48</v>
      </c>
      <c r="AP32" s="5">
        <v>0.4</v>
      </c>
      <c r="AQ32" s="5">
        <v>0.22</v>
      </c>
      <c r="AR32" s="5">
        <v>0.03</v>
      </c>
      <c r="AS32" s="5">
        <v>0.01</v>
      </c>
      <c r="AT32" s="5">
        <v>77</v>
      </c>
      <c r="AU32" s="5">
        <v>59</v>
      </c>
      <c r="AV32" s="5">
        <v>0.2</v>
      </c>
      <c r="AW32" s="5">
        <v>11</v>
      </c>
      <c r="AX32" s="5">
        <v>8</v>
      </c>
      <c r="AY32" s="5">
        <v>20</v>
      </c>
      <c r="AZ32" s="5">
        <v>138</v>
      </c>
      <c r="BA32" s="5">
        <v>115</v>
      </c>
      <c r="BB32" s="5">
        <v>1.47</v>
      </c>
      <c r="BC32" s="5">
        <v>0</v>
      </c>
      <c r="BD32" s="5">
        <v>18</v>
      </c>
      <c r="BE32" s="20">
        <v>0.7</v>
      </c>
      <c r="BF32" s="5">
        <v>0</v>
      </c>
      <c r="BG32" s="5">
        <v>0.1</v>
      </c>
      <c r="BH32" s="5">
        <v>1.9</v>
      </c>
      <c r="BI32" s="5">
        <v>1.41</v>
      </c>
      <c r="BJ32" s="5"/>
      <c r="BK32" s="5"/>
      <c r="BL32" s="5"/>
      <c r="BM32" s="5">
        <v>248</v>
      </c>
      <c r="BN32" s="5">
        <v>19</v>
      </c>
      <c r="BO32" s="5">
        <v>1114</v>
      </c>
      <c r="BP32" s="5">
        <v>378</v>
      </c>
      <c r="BQ32" s="5"/>
      <c r="BR32" s="5"/>
      <c r="BS32" s="5">
        <v>228</v>
      </c>
      <c r="BT32" s="5">
        <v>21</v>
      </c>
      <c r="BU32" s="5">
        <v>404</v>
      </c>
      <c r="BV32" s="5">
        <v>71</v>
      </c>
      <c r="BW32" s="5"/>
      <c r="BX32" s="5"/>
      <c r="BY32" s="5">
        <v>8.9</v>
      </c>
      <c r="BZ32" s="5">
        <v>0.8</v>
      </c>
      <c r="CA32" s="5">
        <v>15</v>
      </c>
      <c r="CB32" s="20">
        <v>2.4</v>
      </c>
      <c r="CC32" s="5">
        <v>4</v>
      </c>
      <c r="CD32" s="5">
        <v>393</v>
      </c>
      <c r="CE32" s="20">
        <v>14.6</v>
      </c>
      <c r="CF32" s="5">
        <v>51.33</v>
      </c>
      <c r="CG32" s="5">
        <v>1.1299999999999999</v>
      </c>
      <c r="CH32" s="5">
        <v>17.48</v>
      </c>
      <c r="CI32" s="5">
        <v>9.19</v>
      </c>
      <c r="CJ32" s="5">
        <v>0.19</v>
      </c>
      <c r="CK32" s="5">
        <v>3.87</v>
      </c>
      <c r="CL32" s="5">
        <v>7.39</v>
      </c>
      <c r="CM32" s="5">
        <v>3.61</v>
      </c>
      <c r="CN32" s="5">
        <v>0.85</v>
      </c>
      <c r="CO32" s="5">
        <v>0.26</v>
      </c>
      <c r="CP32" s="5">
        <v>1599</v>
      </c>
      <c r="CQ32" s="5"/>
      <c r="CR32" s="5"/>
      <c r="CS32" s="5">
        <v>1147</v>
      </c>
      <c r="CT32" s="5">
        <v>4.12</v>
      </c>
      <c r="CU32" s="20">
        <v>245</v>
      </c>
      <c r="CV32" s="5">
        <v>2.57</v>
      </c>
      <c r="CW32" s="5">
        <v>0.06</v>
      </c>
      <c r="CX32" s="5">
        <v>0.87</v>
      </c>
      <c r="CY32" s="5">
        <v>0.46</v>
      </c>
      <c r="CZ32" s="5">
        <v>0.01</v>
      </c>
      <c r="DA32" s="5">
        <v>0.19</v>
      </c>
      <c r="DB32" s="5">
        <v>0.37</v>
      </c>
      <c r="DC32" s="5">
        <v>0.18</v>
      </c>
      <c r="DD32" s="5">
        <v>0.04</v>
      </c>
      <c r="DE32" s="5">
        <v>0.01</v>
      </c>
      <c r="DF32" s="5">
        <v>80</v>
      </c>
      <c r="DG32" s="5"/>
      <c r="DH32" s="5"/>
      <c r="DI32" s="5">
        <v>57</v>
      </c>
      <c r="DJ32" s="5">
        <v>0.21</v>
      </c>
      <c r="DK32" s="20">
        <v>12</v>
      </c>
      <c r="DL32" s="5"/>
      <c r="DM32" s="5"/>
      <c r="DN32" s="5"/>
      <c r="DO32" s="5"/>
      <c r="DP32" s="5"/>
      <c r="DQ32" s="20">
        <v>73.2</v>
      </c>
      <c r="DR32" s="5"/>
      <c r="DS32" s="5"/>
      <c r="DT32" s="5"/>
      <c r="DU32" s="5"/>
      <c r="DV32" s="5"/>
      <c r="DW32" s="20">
        <v>2</v>
      </c>
      <c r="DX32" s="5"/>
      <c r="DY32" s="5"/>
      <c r="DZ32" s="5"/>
      <c r="EA32" s="5"/>
      <c r="EB32" s="5">
        <v>81</v>
      </c>
      <c r="EC32" s="5"/>
      <c r="ED32" s="5"/>
      <c r="EE32" s="5"/>
      <c r="EF32" s="5"/>
      <c r="EG32" s="20"/>
      <c r="EH32" s="5"/>
      <c r="EI32" s="5"/>
      <c r="EJ32" s="5"/>
      <c r="EK32" s="5"/>
      <c r="EL32" s="5"/>
      <c r="EM32" s="21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4"/>
    </row>
    <row r="33" spans="1:181" ht="15" x14ac:dyDescent="0.2">
      <c r="A33" s="4" t="s">
        <v>366</v>
      </c>
      <c r="B33" s="4" t="s">
        <v>1</v>
      </c>
      <c r="C33" s="4" t="s">
        <v>2</v>
      </c>
      <c r="D33" s="4" t="s">
        <v>3</v>
      </c>
      <c r="E33" s="5" t="s">
        <v>3</v>
      </c>
      <c r="F33" s="5" t="s">
        <v>317</v>
      </c>
      <c r="G33" s="5">
        <v>0.2</v>
      </c>
      <c r="H33" s="5">
        <v>0.01</v>
      </c>
      <c r="I33" s="5">
        <v>1.5</v>
      </c>
      <c r="J33" s="20">
        <v>0.3</v>
      </c>
      <c r="K33" s="5">
        <v>51.73</v>
      </c>
      <c r="L33" s="5">
        <v>0.89</v>
      </c>
      <c r="M33" s="5">
        <v>16.96</v>
      </c>
      <c r="N33" s="5">
        <v>1.66</v>
      </c>
      <c r="O33" s="5">
        <v>7.63</v>
      </c>
      <c r="P33" s="5">
        <v>0.13</v>
      </c>
      <c r="Q33" s="5">
        <v>3.72</v>
      </c>
      <c r="R33" s="5">
        <v>7.49</v>
      </c>
      <c r="S33" s="5">
        <v>3.52</v>
      </c>
      <c r="T33" s="5">
        <v>0.83</v>
      </c>
      <c r="U33" s="5">
        <v>0.26</v>
      </c>
      <c r="V33" s="5">
        <v>1774</v>
      </c>
      <c r="W33" s="5">
        <v>1266</v>
      </c>
      <c r="X33" s="5">
        <v>3.42</v>
      </c>
      <c r="Y33" s="5">
        <v>388</v>
      </c>
      <c r="Z33" s="20">
        <v>98.6</v>
      </c>
      <c r="AA33" s="5">
        <v>971</v>
      </c>
      <c r="AB33" s="5">
        <v>1056</v>
      </c>
      <c r="AC33" s="5">
        <v>674</v>
      </c>
      <c r="AD33" s="5">
        <v>910</v>
      </c>
      <c r="AE33" s="5">
        <v>5.9</v>
      </c>
      <c r="AF33" s="5">
        <v>0.32</v>
      </c>
      <c r="AG33" s="5">
        <v>237</v>
      </c>
      <c r="AH33" s="20">
        <v>9.1999999999999993</v>
      </c>
      <c r="AI33" s="5">
        <v>2.23</v>
      </c>
      <c r="AJ33" s="5">
        <v>0.05</v>
      </c>
      <c r="AK33" s="5">
        <v>0.98</v>
      </c>
      <c r="AL33" s="5">
        <v>0.13</v>
      </c>
      <c r="AM33" s="5">
        <v>0.62</v>
      </c>
      <c r="AN33" s="5">
        <v>0.01</v>
      </c>
      <c r="AO33" s="5">
        <v>0.56999999999999995</v>
      </c>
      <c r="AP33" s="5">
        <v>0.37</v>
      </c>
      <c r="AQ33" s="5">
        <v>0.19</v>
      </c>
      <c r="AR33" s="5">
        <v>0.05</v>
      </c>
      <c r="AS33" s="5">
        <v>0.01</v>
      </c>
      <c r="AT33" s="5">
        <v>92</v>
      </c>
      <c r="AU33" s="5">
        <v>59</v>
      </c>
      <c r="AV33" s="5">
        <v>0.2</v>
      </c>
      <c r="AW33" s="5">
        <v>17</v>
      </c>
      <c r="AX33" s="5">
        <v>7</v>
      </c>
      <c r="AY33" s="5">
        <v>22</v>
      </c>
      <c r="AZ33" s="5">
        <v>110</v>
      </c>
      <c r="BA33" s="5">
        <v>104</v>
      </c>
      <c r="BB33" s="5">
        <v>1.99</v>
      </c>
      <c r="BC33" s="5">
        <v>0.01</v>
      </c>
      <c r="BD33" s="5">
        <v>16</v>
      </c>
      <c r="BE33" s="20">
        <v>0.6</v>
      </c>
      <c r="BF33" s="5">
        <v>1.2</v>
      </c>
      <c r="BG33" s="5">
        <v>0.3</v>
      </c>
      <c r="BH33" s="5">
        <v>2</v>
      </c>
      <c r="BI33" s="5">
        <v>0.83</v>
      </c>
      <c r="BJ33" s="5"/>
      <c r="BK33" s="5"/>
      <c r="BL33" s="5"/>
      <c r="BM33" s="5">
        <v>1395</v>
      </c>
      <c r="BN33" s="5">
        <v>280</v>
      </c>
      <c r="BO33" s="5">
        <v>1850</v>
      </c>
      <c r="BP33" s="5">
        <v>405</v>
      </c>
      <c r="BQ33" s="5"/>
      <c r="BR33" s="5"/>
      <c r="BS33" s="5">
        <v>396</v>
      </c>
      <c r="BT33" s="5">
        <v>44</v>
      </c>
      <c r="BU33" s="5">
        <v>469</v>
      </c>
      <c r="BV33" s="5">
        <v>67</v>
      </c>
      <c r="BW33" s="5"/>
      <c r="BX33" s="5"/>
      <c r="BY33" s="5">
        <v>14.8</v>
      </c>
      <c r="BZ33" s="5">
        <v>1.5</v>
      </c>
      <c r="CA33" s="5">
        <v>17.2</v>
      </c>
      <c r="CB33" s="20">
        <v>2.2999999999999998</v>
      </c>
      <c r="CC33" s="5">
        <v>4</v>
      </c>
      <c r="CD33" s="5">
        <v>507</v>
      </c>
      <c r="CE33" s="20">
        <v>18.600000000000001</v>
      </c>
      <c r="CF33" s="5">
        <v>52.65</v>
      </c>
      <c r="CG33" s="5">
        <v>0.95</v>
      </c>
      <c r="CH33" s="5">
        <v>17.989999999999998</v>
      </c>
      <c r="CI33" s="5">
        <v>7.94</v>
      </c>
      <c r="CJ33" s="5">
        <v>0.14000000000000001</v>
      </c>
      <c r="CK33" s="5">
        <v>1.95</v>
      </c>
      <c r="CL33" s="5">
        <v>7.95</v>
      </c>
      <c r="CM33" s="5">
        <v>3.73</v>
      </c>
      <c r="CN33" s="5">
        <v>0.88</v>
      </c>
      <c r="CO33" s="5">
        <v>0.27</v>
      </c>
      <c r="CP33" s="5">
        <v>1881</v>
      </c>
      <c r="CQ33" s="5"/>
      <c r="CR33" s="5"/>
      <c r="CS33" s="5">
        <v>1342</v>
      </c>
      <c r="CT33" s="5">
        <v>3.62</v>
      </c>
      <c r="CU33" s="20">
        <v>411</v>
      </c>
      <c r="CV33" s="5">
        <v>2.63</v>
      </c>
      <c r="CW33" s="5">
        <v>0.05</v>
      </c>
      <c r="CX33" s="5">
        <v>0.9</v>
      </c>
      <c r="CY33" s="5">
        <v>0.4</v>
      </c>
      <c r="CZ33" s="5">
        <v>0.01</v>
      </c>
      <c r="DA33" s="5">
        <v>0.1</v>
      </c>
      <c r="DB33" s="5">
        <v>0.4</v>
      </c>
      <c r="DC33" s="5">
        <v>0.19</v>
      </c>
      <c r="DD33" s="5">
        <v>0.04</v>
      </c>
      <c r="DE33" s="5">
        <v>0.01</v>
      </c>
      <c r="DF33" s="5">
        <v>94</v>
      </c>
      <c r="DG33" s="5"/>
      <c r="DH33" s="5"/>
      <c r="DI33" s="5">
        <v>67</v>
      </c>
      <c r="DJ33" s="5">
        <v>0.18</v>
      </c>
      <c r="DK33" s="20">
        <v>21</v>
      </c>
      <c r="DL33" s="5"/>
      <c r="DM33" s="5"/>
      <c r="DN33" s="5"/>
      <c r="DO33" s="5"/>
      <c r="DP33" s="5"/>
      <c r="DQ33" s="20">
        <v>73.2</v>
      </c>
      <c r="DR33" s="5"/>
      <c r="DS33" s="5"/>
      <c r="DT33" s="5"/>
      <c r="DU33" s="5"/>
      <c r="DV33" s="5"/>
      <c r="DW33" s="20">
        <v>2</v>
      </c>
      <c r="DX33" s="5"/>
      <c r="DY33" s="5"/>
      <c r="DZ33" s="5"/>
      <c r="EA33" s="5"/>
      <c r="EB33" s="5">
        <v>41</v>
      </c>
      <c r="EC33" s="5"/>
      <c r="ED33" s="5"/>
      <c r="EE33" s="5"/>
      <c r="EF33" s="5"/>
      <c r="EG33" s="20"/>
      <c r="EH33" s="5"/>
      <c r="EI33" s="5"/>
      <c r="EJ33" s="5"/>
      <c r="EK33" s="5"/>
      <c r="EL33" s="5"/>
      <c r="EM33" s="21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4"/>
    </row>
    <row r="34" spans="1:181" ht="15" x14ac:dyDescent="0.2">
      <c r="A34" s="4" t="s">
        <v>367</v>
      </c>
      <c r="B34" s="4" t="s">
        <v>1</v>
      </c>
      <c r="C34" s="4" t="s">
        <v>2</v>
      </c>
      <c r="D34" s="4" t="s">
        <v>3</v>
      </c>
      <c r="E34" s="5" t="s">
        <v>3</v>
      </c>
      <c r="F34" s="5" t="s">
        <v>317</v>
      </c>
      <c r="G34" s="5">
        <v>0.2</v>
      </c>
      <c r="H34" s="5">
        <v>0.01</v>
      </c>
      <c r="I34" s="5">
        <v>1.5</v>
      </c>
      <c r="J34" s="20">
        <v>0.3</v>
      </c>
      <c r="K34" s="5">
        <v>51.72</v>
      </c>
      <c r="L34" s="5">
        <v>1.23</v>
      </c>
      <c r="M34" s="5">
        <v>17.309999999999999</v>
      </c>
      <c r="N34" s="5">
        <v>2.11</v>
      </c>
      <c r="O34" s="5">
        <v>7.16</v>
      </c>
      <c r="P34" s="5">
        <v>0.19</v>
      </c>
      <c r="Q34" s="5">
        <v>3.46</v>
      </c>
      <c r="R34" s="5">
        <v>7.54</v>
      </c>
      <c r="S34" s="5">
        <v>3.59</v>
      </c>
      <c r="T34" s="5">
        <v>0.83</v>
      </c>
      <c r="U34" s="5">
        <v>0.27</v>
      </c>
      <c r="V34" s="5">
        <v>1715</v>
      </c>
      <c r="W34" s="5">
        <v>1180</v>
      </c>
      <c r="X34" s="5">
        <v>4.0599999999999996</v>
      </c>
      <c r="Y34" s="5">
        <v>447</v>
      </c>
      <c r="Z34" s="20">
        <v>99.8</v>
      </c>
      <c r="AA34" s="5">
        <v>1045</v>
      </c>
      <c r="AB34" s="5">
        <v>1033</v>
      </c>
      <c r="AC34" s="5">
        <v>744</v>
      </c>
      <c r="AD34" s="5">
        <v>970</v>
      </c>
      <c r="AE34" s="5">
        <v>-1.8</v>
      </c>
      <c r="AF34" s="5">
        <v>0.32</v>
      </c>
      <c r="AG34" s="5">
        <v>259</v>
      </c>
      <c r="AH34" s="20">
        <v>10</v>
      </c>
      <c r="AI34" s="5">
        <v>2.19</v>
      </c>
      <c r="AJ34" s="5">
        <v>0.08</v>
      </c>
      <c r="AK34" s="5">
        <v>0.9</v>
      </c>
      <c r="AL34" s="5">
        <v>0.13</v>
      </c>
      <c r="AM34" s="5">
        <v>0.55000000000000004</v>
      </c>
      <c r="AN34" s="5">
        <v>0.01</v>
      </c>
      <c r="AO34" s="5">
        <v>0.57999999999999996</v>
      </c>
      <c r="AP34" s="5">
        <v>0.4</v>
      </c>
      <c r="AQ34" s="5">
        <v>0.18</v>
      </c>
      <c r="AR34" s="5">
        <v>0.05</v>
      </c>
      <c r="AS34" s="5">
        <v>0.01</v>
      </c>
      <c r="AT34" s="5">
        <v>82</v>
      </c>
      <c r="AU34" s="5">
        <v>57</v>
      </c>
      <c r="AV34" s="5">
        <v>0.2</v>
      </c>
      <c r="AW34" s="5">
        <v>21</v>
      </c>
      <c r="AX34" s="5">
        <v>8</v>
      </c>
      <c r="AY34" s="5">
        <v>24</v>
      </c>
      <c r="AZ34" s="5">
        <v>87</v>
      </c>
      <c r="BA34" s="5">
        <v>126</v>
      </c>
      <c r="BB34" s="5">
        <v>1.91</v>
      </c>
      <c r="BC34" s="5">
        <v>0</v>
      </c>
      <c r="BD34" s="5">
        <v>18</v>
      </c>
      <c r="BE34" s="20">
        <v>0.7</v>
      </c>
      <c r="BF34" s="5">
        <v>0</v>
      </c>
      <c r="BG34" s="5">
        <v>0.1</v>
      </c>
      <c r="BH34" s="5">
        <v>1.4</v>
      </c>
      <c r="BI34" s="5">
        <v>0.72</v>
      </c>
      <c r="BJ34" s="5"/>
      <c r="BK34" s="5"/>
      <c r="BL34" s="5"/>
      <c r="BM34" s="5">
        <v>447</v>
      </c>
      <c r="BN34" s="5">
        <v>21</v>
      </c>
      <c r="BO34" s="5">
        <v>1582</v>
      </c>
      <c r="BP34" s="5">
        <v>485</v>
      </c>
      <c r="BQ34" s="5"/>
      <c r="BR34" s="5"/>
      <c r="BS34" s="5">
        <v>259</v>
      </c>
      <c r="BT34" s="5">
        <v>20</v>
      </c>
      <c r="BU34" s="5">
        <v>473</v>
      </c>
      <c r="BV34" s="5">
        <v>70</v>
      </c>
      <c r="BW34" s="5"/>
      <c r="BX34" s="5"/>
      <c r="BY34" s="5">
        <v>10</v>
      </c>
      <c r="BZ34" s="5">
        <v>0.7</v>
      </c>
      <c r="CA34" s="5">
        <v>17.399999999999999</v>
      </c>
      <c r="CB34" s="20">
        <v>2.4</v>
      </c>
      <c r="CC34" s="5">
        <v>3.9</v>
      </c>
      <c r="CD34" s="5">
        <v>465</v>
      </c>
      <c r="CE34" s="20">
        <v>17.100000000000001</v>
      </c>
      <c r="CF34" s="5">
        <v>51.48</v>
      </c>
      <c r="CG34" s="5">
        <v>1.21</v>
      </c>
      <c r="CH34" s="5">
        <v>17</v>
      </c>
      <c r="CI34" s="5">
        <v>9.32</v>
      </c>
      <c r="CJ34" s="5">
        <v>0.18</v>
      </c>
      <c r="CK34" s="5">
        <v>4.08</v>
      </c>
      <c r="CL34" s="5">
        <v>7.4</v>
      </c>
      <c r="CM34" s="5">
        <v>3.53</v>
      </c>
      <c r="CN34" s="5">
        <v>0.81</v>
      </c>
      <c r="CO34" s="5">
        <v>0.26</v>
      </c>
      <c r="CP34" s="5">
        <v>1685</v>
      </c>
      <c r="CQ34" s="5"/>
      <c r="CR34" s="5"/>
      <c r="CS34" s="5">
        <v>1159</v>
      </c>
      <c r="CT34" s="5">
        <v>3.98</v>
      </c>
      <c r="CU34" s="20">
        <v>439</v>
      </c>
      <c r="CV34" s="5">
        <v>2.57</v>
      </c>
      <c r="CW34" s="5">
        <v>0.06</v>
      </c>
      <c r="CX34" s="5">
        <v>0.85</v>
      </c>
      <c r="CY34" s="5">
        <v>0.47</v>
      </c>
      <c r="CZ34" s="5">
        <v>0.01</v>
      </c>
      <c r="DA34" s="5">
        <v>0.2</v>
      </c>
      <c r="DB34" s="5">
        <v>0.37</v>
      </c>
      <c r="DC34" s="5">
        <v>0.18</v>
      </c>
      <c r="DD34" s="5">
        <v>0.04</v>
      </c>
      <c r="DE34" s="5">
        <v>0.01</v>
      </c>
      <c r="DF34" s="5">
        <v>84</v>
      </c>
      <c r="DG34" s="5"/>
      <c r="DH34" s="5"/>
      <c r="DI34" s="5">
        <v>58</v>
      </c>
      <c r="DJ34" s="5">
        <v>0.2</v>
      </c>
      <c r="DK34" s="20">
        <v>22</v>
      </c>
      <c r="DL34" s="5"/>
      <c r="DM34" s="5"/>
      <c r="DN34" s="5"/>
      <c r="DO34" s="5"/>
      <c r="DP34" s="5"/>
      <c r="DQ34" s="20">
        <v>73.099999999999994</v>
      </c>
      <c r="DR34" s="5"/>
      <c r="DS34" s="5"/>
      <c r="DT34" s="5"/>
      <c r="DU34" s="5"/>
      <c r="DV34" s="5"/>
      <c r="DW34" s="20">
        <v>2</v>
      </c>
      <c r="DX34" s="5"/>
      <c r="DY34" s="5"/>
      <c r="DZ34" s="5"/>
      <c r="EA34" s="5"/>
      <c r="EB34" s="5">
        <v>88</v>
      </c>
      <c r="EC34" s="5"/>
      <c r="ED34" s="5"/>
      <c r="EE34" s="5"/>
      <c r="EF34" s="5"/>
      <c r="EG34" s="20"/>
      <c r="EH34" s="5"/>
      <c r="EI34" s="5"/>
      <c r="EJ34" s="5"/>
      <c r="EK34" s="5"/>
      <c r="EL34" s="5"/>
      <c r="EM34" s="21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4"/>
    </row>
    <row r="35" spans="1:181" ht="15" x14ac:dyDescent="0.2">
      <c r="A35" s="4" t="s">
        <v>368</v>
      </c>
      <c r="B35" s="4" t="s">
        <v>1</v>
      </c>
      <c r="C35" s="4" t="s">
        <v>2</v>
      </c>
      <c r="D35" s="4" t="s">
        <v>3</v>
      </c>
      <c r="E35" s="5" t="s">
        <v>3</v>
      </c>
      <c r="F35" s="5" t="s">
        <v>317</v>
      </c>
      <c r="G35" s="5">
        <v>0.2</v>
      </c>
      <c r="H35" s="5">
        <v>0.01</v>
      </c>
      <c r="I35" s="5">
        <v>1.5</v>
      </c>
      <c r="J35" s="20">
        <v>0.3</v>
      </c>
      <c r="K35" s="5">
        <v>54.72</v>
      </c>
      <c r="L35" s="5">
        <v>1.03</v>
      </c>
      <c r="M35" s="5">
        <v>16.48</v>
      </c>
      <c r="N35" s="5">
        <v>1.86</v>
      </c>
      <c r="O35" s="5">
        <v>6.72</v>
      </c>
      <c r="P35" s="5">
        <v>0.17</v>
      </c>
      <c r="Q35" s="5">
        <v>3.53</v>
      </c>
      <c r="R35" s="5">
        <v>6.75</v>
      </c>
      <c r="S35" s="5">
        <v>4.3899999999999997</v>
      </c>
      <c r="T35" s="5">
        <v>0.88</v>
      </c>
      <c r="U35" s="5">
        <v>0.25</v>
      </c>
      <c r="V35" s="5">
        <v>1462</v>
      </c>
      <c r="W35" s="5">
        <v>1132</v>
      </c>
      <c r="X35" s="5">
        <v>3.87</v>
      </c>
      <c r="Y35" s="5">
        <v>328</v>
      </c>
      <c r="Z35" s="20">
        <v>101</v>
      </c>
      <c r="AA35" s="5">
        <v>1036</v>
      </c>
      <c r="AB35" s="5">
        <v>1047</v>
      </c>
      <c r="AC35" s="5">
        <v>726</v>
      </c>
      <c r="AD35" s="5">
        <v>950</v>
      </c>
      <c r="AE35" s="5">
        <v>0.1</v>
      </c>
      <c r="AF35" s="5">
        <v>0.35</v>
      </c>
      <c r="AG35" s="5">
        <v>228</v>
      </c>
      <c r="AH35" s="20">
        <v>8.9</v>
      </c>
      <c r="AI35" s="5">
        <v>2.27</v>
      </c>
      <c r="AJ35" s="5">
        <v>0.06</v>
      </c>
      <c r="AK35" s="5">
        <v>0.88</v>
      </c>
      <c r="AL35" s="5">
        <v>0.11</v>
      </c>
      <c r="AM35" s="5">
        <v>0.57999999999999996</v>
      </c>
      <c r="AN35" s="5">
        <v>0.01</v>
      </c>
      <c r="AO35" s="5">
        <v>0.59</v>
      </c>
      <c r="AP35" s="5">
        <v>0.42</v>
      </c>
      <c r="AQ35" s="5">
        <v>0.25</v>
      </c>
      <c r="AR35" s="5">
        <v>0.05</v>
      </c>
      <c r="AS35" s="5">
        <v>0.01</v>
      </c>
      <c r="AT35" s="5">
        <v>90</v>
      </c>
      <c r="AU35" s="5">
        <v>59</v>
      </c>
      <c r="AV35" s="5">
        <v>0.2</v>
      </c>
      <c r="AW35" s="5">
        <v>15</v>
      </c>
      <c r="AX35" s="5">
        <v>6</v>
      </c>
      <c r="AY35" s="5">
        <v>25</v>
      </c>
      <c r="AZ35" s="5">
        <v>121</v>
      </c>
      <c r="BA35" s="5">
        <v>123</v>
      </c>
      <c r="BB35" s="5">
        <v>2.04</v>
      </c>
      <c r="BC35" s="5">
        <v>0</v>
      </c>
      <c r="BD35" s="5">
        <v>15</v>
      </c>
      <c r="BE35" s="20">
        <v>0.6</v>
      </c>
      <c r="BF35" s="5">
        <v>0</v>
      </c>
      <c r="BG35" s="5">
        <v>0.2</v>
      </c>
      <c r="BH35" s="5">
        <v>1.6</v>
      </c>
      <c r="BI35" s="5">
        <v>0.98</v>
      </c>
      <c r="BJ35" s="5"/>
      <c r="BK35" s="5"/>
      <c r="BL35" s="5"/>
      <c r="BM35" s="5">
        <v>344</v>
      </c>
      <c r="BN35" s="5">
        <v>38</v>
      </c>
      <c r="BO35" s="5">
        <v>1348</v>
      </c>
      <c r="BP35" s="5">
        <v>423</v>
      </c>
      <c r="BQ35" s="5"/>
      <c r="BR35" s="5"/>
      <c r="BS35" s="5">
        <v>231</v>
      </c>
      <c r="BT35" s="5">
        <v>27</v>
      </c>
      <c r="BU35" s="5">
        <v>419</v>
      </c>
      <c r="BV35" s="5">
        <v>79</v>
      </c>
      <c r="BW35" s="5"/>
      <c r="BX35" s="5"/>
      <c r="BY35" s="5">
        <v>9</v>
      </c>
      <c r="BZ35" s="5">
        <v>1</v>
      </c>
      <c r="CA35" s="5">
        <v>15.5</v>
      </c>
      <c r="CB35" s="20">
        <v>2.7</v>
      </c>
      <c r="CC35" s="5">
        <v>4.3</v>
      </c>
      <c r="CD35" s="5">
        <v>448</v>
      </c>
      <c r="CE35" s="20">
        <v>16.5</v>
      </c>
      <c r="CF35" s="5">
        <v>54.74</v>
      </c>
      <c r="CG35" s="5">
        <v>1.03</v>
      </c>
      <c r="CH35" s="5">
        <v>16.489999999999998</v>
      </c>
      <c r="CI35" s="5">
        <v>8.39</v>
      </c>
      <c r="CJ35" s="5">
        <v>0.17</v>
      </c>
      <c r="CK35" s="5">
        <v>3.51</v>
      </c>
      <c r="CL35" s="5">
        <v>6.76</v>
      </c>
      <c r="CM35" s="5">
        <v>4.3899999999999997</v>
      </c>
      <c r="CN35" s="5">
        <v>0.88</v>
      </c>
      <c r="CO35" s="5">
        <v>0.25</v>
      </c>
      <c r="CP35" s="5">
        <v>1463</v>
      </c>
      <c r="CQ35" s="5"/>
      <c r="CR35" s="5"/>
      <c r="CS35" s="5">
        <v>1132</v>
      </c>
      <c r="CT35" s="5">
        <v>3.87</v>
      </c>
      <c r="CU35" s="20">
        <v>329</v>
      </c>
      <c r="CV35" s="5">
        <v>2.74</v>
      </c>
      <c r="CW35" s="5">
        <v>0.05</v>
      </c>
      <c r="CX35" s="5">
        <v>0.82</v>
      </c>
      <c r="CY35" s="5">
        <v>0.42</v>
      </c>
      <c r="CZ35" s="5">
        <v>0.01</v>
      </c>
      <c r="DA35" s="5">
        <v>0.18</v>
      </c>
      <c r="DB35" s="5">
        <v>0.34</v>
      </c>
      <c r="DC35" s="5">
        <v>0.22</v>
      </c>
      <c r="DD35" s="5">
        <v>0.04</v>
      </c>
      <c r="DE35" s="5">
        <v>0.01</v>
      </c>
      <c r="DF35" s="5">
        <v>73</v>
      </c>
      <c r="DG35" s="5"/>
      <c r="DH35" s="5"/>
      <c r="DI35" s="5">
        <v>57</v>
      </c>
      <c r="DJ35" s="5">
        <v>0.19</v>
      </c>
      <c r="DK35" s="20">
        <v>16</v>
      </c>
      <c r="DL35" s="5"/>
      <c r="DM35" s="5"/>
      <c r="DN35" s="5"/>
      <c r="DO35" s="5"/>
      <c r="DP35" s="5"/>
      <c r="DQ35" s="20">
        <v>72.599999999999994</v>
      </c>
      <c r="DR35" s="5"/>
      <c r="DS35" s="5"/>
      <c r="DT35" s="5"/>
      <c r="DU35" s="5"/>
      <c r="DV35" s="5"/>
      <c r="DW35" s="20">
        <v>2</v>
      </c>
      <c r="DX35" s="5"/>
      <c r="DY35" s="5"/>
      <c r="DZ35" s="5"/>
      <c r="EA35" s="5"/>
      <c r="EB35" s="5">
        <v>73</v>
      </c>
      <c r="EC35" s="5"/>
      <c r="ED35" s="5"/>
      <c r="EE35" s="5"/>
      <c r="EF35" s="5"/>
      <c r="EG35" s="20"/>
      <c r="EH35" s="5"/>
      <c r="EI35" s="5"/>
      <c r="EJ35" s="5"/>
      <c r="EK35" s="5"/>
      <c r="EL35" s="5"/>
      <c r="EM35" s="21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4"/>
    </row>
    <row r="36" spans="1:181" ht="15" x14ac:dyDescent="0.2">
      <c r="A36" s="4" t="s">
        <v>369</v>
      </c>
      <c r="B36" s="4" t="s">
        <v>1</v>
      </c>
      <c r="C36" s="4" t="s">
        <v>2</v>
      </c>
      <c r="D36" s="4" t="s">
        <v>3</v>
      </c>
      <c r="E36" s="5" t="s">
        <v>3</v>
      </c>
      <c r="F36" s="5" t="s">
        <v>346</v>
      </c>
      <c r="G36" s="5">
        <v>0.2</v>
      </c>
      <c r="H36" s="5">
        <v>0.01</v>
      </c>
      <c r="I36" s="5">
        <v>1.5</v>
      </c>
      <c r="J36" s="20">
        <v>0.3</v>
      </c>
      <c r="K36" s="5">
        <v>50.66</v>
      </c>
      <c r="L36" s="5">
        <v>1.07</v>
      </c>
      <c r="M36" s="5">
        <v>18.510000000000002</v>
      </c>
      <c r="N36" s="5">
        <v>2.1</v>
      </c>
      <c r="O36" s="5">
        <v>7.18</v>
      </c>
      <c r="P36" s="5">
        <v>0.16</v>
      </c>
      <c r="Q36" s="5">
        <v>3.64</v>
      </c>
      <c r="R36" s="5">
        <v>8.18</v>
      </c>
      <c r="S36" s="5">
        <v>3.51</v>
      </c>
      <c r="T36" s="5">
        <v>0.64</v>
      </c>
      <c r="U36" s="5">
        <v>0.17</v>
      </c>
      <c r="V36" s="5">
        <v>2176</v>
      </c>
      <c r="W36" s="5">
        <v>865</v>
      </c>
      <c r="X36" s="5">
        <v>3.87</v>
      </c>
      <c r="Y36" s="5">
        <v>445</v>
      </c>
      <c r="Z36" s="20">
        <v>100.1</v>
      </c>
      <c r="AA36" s="5">
        <v>1045</v>
      </c>
      <c r="AB36" s="5">
        <v>1036</v>
      </c>
      <c r="AC36" s="5">
        <v>754</v>
      </c>
      <c r="AD36" s="5">
        <v>985</v>
      </c>
      <c r="AE36" s="5">
        <v>-1.6</v>
      </c>
      <c r="AF36" s="5">
        <v>0.32</v>
      </c>
      <c r="AG36" s="5">
        <v>245</v>
      </c>
      <c r="AH36" s="20">
        <v>9.5</v>
      </c>
      <c r="AI36" s="5">
        <v>2.2200000000000002</v>
      </c>
      <c r="AJ36" s="5">
        <v>0.05</v>
      </c>
      <c r="AK36" s="5">
        <v>0.88</v>
      </c>
      <c r="AL36" s="5">
        <v>0.15</v>
      </c>
      <c r="AM36" s="5">
        <v>0.54</v>
      </c>
      <c r="AN36" s="5">
        <v>0.01</v>
      </c>
      <c r="AO36" s="5">
        <v>0.59</v>
      </c>
      <c r="AP36" s="5">
        <v>0.48</v>
      </c>
      <c r="AQ36" s="5">
        <v>0.21</v>
      </c>
      <c r="AR36" s="5">
        <v>0.03</v>
      </c>
      <c r="AS36" s="5">
        <v>0.01</v>
      </c>
      <c r="AT36" s="5">
        <v>115</v>
      </c>
      <c r="AU36" s="5">
        <v>44</v>
      </c>
      <c r="AV36" s="5">
        <v>0.2</v>
      </c>
      <c r="AW36" s="5">
        <v>26</v>
      </c>
      <c r="AX36" s="5">
        <v>8</v>
      </c>
      <c r="AY36" s="5">
        <v>23</v>
      </c>
      <c r="AZ36" s="5">
        <v>84</v>
      </c>
      <c r="BA36" s="5">
        <v>115</v>
      </c>
      <c r="BB36" s="5">
        <v>1.86</v>
      </c>
      <c r="BC36" s="5">
        <v>0</v>
      </c>
      <c r="BD36" s="5">
        <v>18</v>
      </c>
      <c r="BE36" s="20">
        <v>0.6</v>
      </c>
      <c r="BF36" s="5">
        <v>0</v>
      </c>
      <c r="BG36" s="5">
        <v>0.1</v>
      </c>
      <c r="BH36" s="5">
        <v>1.2</v>
      </c>
      <c r="BI36" s="5">
        <v>0.79</v>
      </c>
      <c r="BJ36" s="5"/>
      <c r="BK36" s="5"/>
      <c r="BL36" s="5"/>
      <c r="BM36" s="5">
        <v>445</v>
      </c>
      <c r="BN36" s="5">
        <v>43</v>
      </c>
      <c r="BO36" s="5">
        <v>1502</v>
      </c>
      <c r="BP36" s="5">
        <v>439</v>
      </c>
      <c r="BQ36" s="5"/>
      <c r="BR36" s="5"/>
      <c r="BS36" s="5">
        <v>245</v>
      </c>
      <c r="BT36" s="5">
        <v>27</v>
      </c>
      <c r="BU36" s="5">
        <v>447</v>
      </c>
      <c r="BV36" s="5">
        <v>81</v>
      </c>
      <c r="BW36" s="5"/>
      <c r="BX36" s="5"/>
      <c r="BY36" s="5">
        <v>9.5</v>
      </c>
      <c r="BZ36" s="5">
        <v>0.9</v>
      </c>
      <c r="CA36" s="5">
        <v>16.5</v>
      </c>
      <c r="CB36" s="20">
        <v>2.8</v>
      </c>
      <c r="CC36" s="5">
        <v>3.9</v>
      </c>
      <c r="CD36" s="5">
        <v>452</v>
      </c>
      <c r="CE36" s="20">
        <v>16.7</v>
      </c>
      <c r="CF36" s="5">
        <v>50.47</v>
      </c>
      <c r="CG36" s="5">
        <v>1.06</v>
      </c>
      <c r="CH36" s="5">
        <v>18.21</v>
      </c>
      <c r="CI36" s="5">
        <v>9.2899999999999991</v>
      </c>
      <c r="CJ36" s="5">
        <v>0.16</v>
      </c>
      <c r="CK36" s="5">
        <v>4.21</v>
      </c>
      <c r="CL36" s="5">
        <v>8.0399999999999991</v>
      </c>
      <c r="CM36" s="5">
        <v>3.45</v>
      </c>
      <c r="CN36" s="5">
        <v>0.63</v>
      </c>
      <c r="CO36" s="5">
        <v>0.16</v>
      </c>
      <c r="CP36" s="5">
        <v>2140</v>
      </c>
      <c r="CQ36" s="5"/>
      <c r="CR36" s="5"/>
      <c r="CS36" s="5">
        <v>851</v>
      </c>
      <c r="CT36" s="5">
        <v>3.81</v>
      </c>
      <c r="CU36" s="20">
        <v>438</v>
      </c>
      <c r="CV36" s="5">
        <v>2.52</v>
      </c>
      <c r="CW36" s="5">
        <v>0.05</v>
      </c>
      <c r="CX36" s="5">
        <v>0.91</v>
      </c>
      <c r="CY36" s="5">
        <v>0.46</v>
      </c>
      <c r="CZ36" s="5">
        <v>0.01</v>
      </c>
      <c r="DA36" s="5">
        <v>0.21</v>
      </c>
      <c r="DB36" s="5">
        <v>0.4</v>
      </c>
      <c r="DC36" s="5">
        <v>0.17</v>
      </c>
      <c r="DD36" s="5">
        <v>0.03</v>
      </c>
      <c r="DE36" s="5">
        <v>0.01</v>
      </c>
      <c r="DF36" s="5">
        <v>107</v>
      </c>
      <c r="DG36" s="5"/>
      <c r="DH36" s="5"/>
      <c r="DI36" s="5">
        <v>43</v>
      </c>
      <c r="DJ36" s="5">
        <v>0.19</v>
      </c>
      <c r="DK36" s="20">
        <v>22</v>
      </c>
      <c r="DL36" s="5"/>
      <c r="DM36" s="5"/>
      <c r="DN36" s="5"/>
      <c r="DO36" s="5"/>
      <c r="DP36" s="5"/>
      <c r="DQ36" s="20">
        <v>74.099999999999994</v>
      </c>
      <c r="DR36" s="5"/>
      <c r="DS36" s="5"/>
      <c r="DT36" s="5"/>
      <c r="DU36" s="5"/>
      <c r="DV36" s="5"/>
      <c r="DW36" s="20">
        <v>2</v>
      </c>
      <c r="DX36" s="5"/>
      <c r="DY36" s="5"/>
      <c r="DZ36" s="5"/>
      <c r="EA36" s="5"/>
      <c r="EB36" s="5">
        <v>88</v>
      </c>
      <c r="EC36" s="5"/>
      <c r="ED36" s="5"/>
      <c r="EE36" s="5"/>
      <c r="EF36" s="5"/>
      <c r="EG36" s="20"/>
      <c r="EH36" s="5"/>
      <c r="EI36" s="5"/>
      <c r="EJ36" s="5"/>
      <c r="EK36" s="5"/>
      <c r="EL36" s="5"/>
      <c r="EM36" s="21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4"/>
    </row>
    <row r="37" spans="1:181" ht="15" x14ac:dyDescent="0.2">
      <c r="A37" s="4" t="s">
        <v>370</v>
      </c>
      <c r="B37" s="4" t="s">
        <v>1</v>
      </c>
      <c r="C37" s="4" t="s">
        <v>2</v>
      </c>
      <c r="D37" s="4" t="s">
        <v>3</v>
      </c>
      <c r="E37" s="5" t="s">
        <v>3</v>
      </c>
      <c r="F37" s="5" t="s">
        <v>346</v>
      </c>
      <c r="G37" s="5">
        <v>0.2</v>
      </c>
      <c r="H37" s="5">
        <v>0.01</v>
      </c>
      <c r="I37" s="5">
        <v>1.5</v>
      </c>
      <c r="J37" s="20">
        <v>0.3</v>
      </c>
      <c r="K37" s="5">
        <v>52.09</v>
      </c>
      <c r="L37" s="5">
        <v>1.24</v>
      </c>
      <c r="M37" s="5">
        <v>17.43</v>
      </c>
      <c r="N37" s="5">
        <v>2</v>
      </c>
      <c r="O37" s="5">
        <v>6.8</v>
      </c>
      <c r="P37" s="5">
        <v>0.15</v>
      </c>
      <c r="Q37" s="5">
        <v>3.59</v>
      </c>
      <c r="R37" s="5">
        <v>7.59</v>
      </c>
      <c r="S37" s="5">
        <v>3.77</v>
      </c>
      <c r="T37" s="5">
        <v>0.88</v>
      </c>
      <c r="U37" s="5">
        <v>0.24</v>
      </c>
      <c r="V37" s="5">
        <v>1666</v>
      </c>
      <c r="W37" s="5">
        <v>1139</v>
      </c>
      <c r="X37" s="5">
        <v>3.84</v>
      </c>
      <c r="Y37" s="5">
        <v>203</v>
      </c>
      <c r="Z37" s="20">
        <v>99.9</v>
      </c>
      <c r="AA37" s="5">
        <v>1048</v>
      </c>
      <c r="AB37" s="5">
        <v>1031</v>
      </c>
      <c r="AC37" s="5">
        <v>756</v>
      </c>
      <c r="AD37" s="5">
        <v>980</v>
      </c>
      <c r="AE37" s="5">
        <v>-1.9</v>
      </c>
      <c r="AF37" s="5">
        <v>0.31</v>
      </c>
      <c r="AG37" s="5">
        <v>190</v>
      </c>
      <c r="AH37" s="20">
        <v>7.5</v>
      </c>
      <c r="AI37" s="5">
        <v>2.5299999999999998</v>
      </c>
      <c r="AJ37" s="5">
        <v>7.0000000000000007E-2</v>
      </c>
      <c r="AK37" s="5">
        <v>0.73</v>
      </c>
      <c r="AL37" s="5">
        <v>0.11</v>
      </c>
      <c r="AM37" s="5">
        <v>0.42</v>
      </c>
      <c r="AN37" s="5">
        <v>0.01</v>
      </c>
      <c r="AO37" s="5">
        <v>0.54</v>
      </c>
      <c r="AP37" s="5">
        <v>0.41</v>
      </c>
      <c r="AQ37" s="5">
        <v>0.18</v>
      </c>
      <c r="AR37" s="5">
        <v>0.05</v>
      </c>
      <c r="AS37" s="5">
        <v>0.01</v>
      </c>
      <c r="AT37" s="5">
        <v>78</v>
      </c>
      <c r="AU37" s="5">
        <v>52</v>
      </c>
      <c r="AV37" s="5">
        <v>0.2</v>
      </c>
      <c r="AW37" s="5">
        <v>9</v>
      </c>
      <c r="AX37" s="5">
        <v>8</v>
      </c>
      <c r="AY37" s="5">
        <v>21</v>
      </c>
      <c r="AZ37" s="5">
        <v>120</v>
      </c>
      <c r="BA37" s="5">
        <v>127</v>
      </c>
      <c r="BB37" s="5">
        <v>1.56</v>
      </c>
      <c r="BC37" s="5">
        <v>0</v>
      </c>
      <c r="BD37" s="5">
        <v>14</v>
      </c>
      <c r="BE37" s="20">
        <v>0.5</v>
      </c>
      <c r="BF37" s="5">
        <v>0</v>
      </c>
      <c r="BG37" s="5">
        <v>0.1</v>
      </c>
      <c r="BH37" s="5">
        <v>1.3</v>
      </c>
      <c r="BI37" s="5">
        <v>1.1100000000000001</v>
      </c>
      <c r="BJ37" s="5"/>
      <c r="BK37" s="5"/>
      <c r="BL37" s="5"/>
      <c r="BM37" s="5">
        <v>203</v>
      </c>
      <c r="BN37" s="5">
        <v>14</v>
      </c>
      <c r="BO37" s="5">
        <v>825</v>
      </c>
      <c r="BP37" s="5">
        <v>304</v>
      </c>
      <c r="BQ37" s="5"/>
      <c r="BR37" s="5"/>
      <c r="BS37" s="5">
        <v>190</v>
      </c>
      <c r="BT37" s="5">
        <v>16</v>
      </c>
      <c r="BU37" s="5">
        <v>328</v>
      </c>
      <c r="BV37" s="5">
        <v>58</v>
      </c>
      <c r="BW37" s="5"/>
      <c r="BX37" s="5"/>
      <c r="BY37" s="5">
        <v>7.5</v>
      </c>
      <c r="BZ37" s="5">
        <v>0.6</v>
      </c>
      <c r="CA37" s="5">
        <v>12.4</v>
      </c>
      <c r="CB37" s="20">
        <v>2</v>
      </c>
      <c r="CC37" s="5">
        <v>4</v>
      </c>
      <c r="CD37" s="5">
        <v>340</v>
      </c>
      <c r="CE37" s="20">
        <v>12.8</v>
      </c>
      <c r="CF37" s="5">
        <v>51.83</v>
      </c>
      <c r="CG37" s="5">
        <v>1.21</v>
      </c>
      <c r="CH37" s="5">
        <v>17.100000000000001</v>
      </c>
      <c r="CI37" s="5">
        <v>8.85</v>
      </c>
      <c r="CJ37" s="5">
        <v>0.15</v>
      </c>
      <c r="CK37" s="5">
        <v>4.2699999999999996</v>
      </c>
      <c r="CL37" s="5">
        <v>7.44</v>
      </c>
      <c r="CM37" s="5">
        <v>3.7</v>
      </c>
      <c r="CN37" s="5">
        <v>0.87</v>
      </c>
      <c r="CO37" s="5">
        <v>0.24</v>
      </c>
      <c r="CP37" s="5">
        <v>1634</v>
      </c>
      <c r="CQ37" s="5"/>
      <c r="CR37" s="5"/>
      <c r="CS37" s="5">
        <v>1117</v>
      </c>
      <c r="CT37" s="5">
        <v>3.77</v>
      </c>
      <c r="CU37" s="20">
        <v>199</v>
      </c>
      <c r="CV37" s="5">
        <v>2.59</v>
      </c>
      <c r="CW37" s="5">
        <v>0.06</v>
      </c>
      <c r="CX37" s="5">
        <v>0.85</v>
      </c>
      <c r="CY37" s="5">
        <v>0.44</v>
      </c>
      <c r="CZ37" s="5">
        <v>0.01</v>
      </c>
      <c r="DA37" s="5">
        <v>0.21</v>
      </c>
      <c r="DB37" s="5">
        <v>0.37</v>
      </c>
      <c r="DC37" s="5">
        <v>0.18</v>
      </c>
      <c r="DD37" s="5">
        <v>0.04</v>
      </c>
      <c r="DE37" s="5">
        <v>0.01</v>
      </c>
      <c r="DF37" s="5">
        <v>82</v>
      </c>
      <c r="DG37" s="5"/>
      <c r="DH37" s="5"/>
      <c r="DI37" s="5">
        <v>56</v>
      </c>
      <c r="DJ37" s="5">
        <v>0.19</v>
      </c>
      <c r="DK37" s="20">
        <v>10</v>
      </c>
      <c r="DL37" s="5"/>
      <c r="DM37" s="5"/>
      <c r="DN37" s="5"/>
      <c r="DO37" s="5"/>
      <c r="DP37" s="5"/>
      <c r="DQ37" s="20">
        <v>75.3</v>
      </c>
      <c r="DR37" s="5"/>
      <c r="DS37" s="5"/>
      <c r="DT37" s="5"/>
      <c r="DU37" s="5"/>
      <c r="DV37" s="5"/>
      <c r="DW37" s="20">
        <v>2</v>
      </c>
      <c r="DX37" s="5"/>
      <c r="DY37" s="5"/>
      <c r="DZ37" s="5"/>
      <c r="EA37" s="5"/>
      <c r="EB37" s="5">
        <v>90</v>
      </c>
      <c r="EC37" s="5"/>
      <c r="ED37" s="5"/>
      <c r="EE37" s="5"/>
      <c r="EF37" s="5"/>
      <c r="EG37" s="20"/>
      <c r="EH37" s="5"/>
      <c r="EI37" s="5"/>
      <c r="EJ37" s="5"/>
      <c r="EK37" s="5"/>
      <c r="EL37" s="5"/>
      <c r="EM37" s="21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4"/>
    </row>
    <row r="38" spans="1:181" ht="15" x14ac:dyDescent="0.2">
      <c r="A38" s="4" t="s">
        <v>371</v>
      </c>
      <c r="B38" s="4" t="s">
        <v>1</v>
      </c>
      <c r="C38" s="4" t="s">
        <v>2</v>
      </c>
      <c r="D38" s="4" t="s">
        <v>3</v>
      </c>
      <c r="E38" s="5" t="s">
        <v>3</v>
      </c>
      <c r="F38" s="5" t="s">
        <v>346</v>
      </c>
      <c r="G38" s="5">
        <v>0.2</v>
      </c>
      <c r="H38" s="5">
        <v>0.01</v>
      </c>
      <c r="I38" s="5">
        <v>1.5</v>
      </c>
      <c r="J38" s="20">
        <v>0.3</v>
      </c>
      <c r="K38" s="5">
        <v>51.9</v>
      </c>
      <c r="L38" s="5">
        <v>1.18</v>
      </c>
      <c r="M38" s="5">
        <v>17.34</v>
      </c>
      <c r="N38" s="5">
        <v>2.2999999999999998</v>
      </c>
      <c r="O38" s="5">
        <v>7.67</v>
      </c>
      <c r="P38" s="5">
        <v>0.2</v>
      </c>
      <c r="Q38" s="5">
        <v>3.63</v>
      </c>
      <c r="R38" s="5">
        <v>7.52</v>
      </c>
      <c r="S38" s="5">
        <v>3.92</v>
      </c>
      <c r="T38" s="5">
        <v>0.83</v>
      </c>
      <c r="U38" s="5">
        <v>0.25</v>
      </c>
      <c r="V38" s="5">
        <v>1891</v>
      </c>
      <c r="W38" s="5">
        <v>1303</v>
      </c>
      <c r="X38" s="5">
        <v>4.04</v>
      </c>
      <c r="Y38" s="5">
        <v>354</v>
      </c>
      <c r="Z38" s="20">
        <v>101.1</v>
      </c>
      <c r="AA38" s="5">
        <v>1058</v>
      </c>
      <c r="AB38" s="5">
        <v>1039</v>
      </c>
      <c r="AC38" s="5">
        <v>727</v>
      </c>
      <c r="AD38" s="5">
        <v>955</v>
      </c>
      <c r="AE38" s="5">
        <v>-2.5</v>
      </c>
      <c r="AF38" s="5">
        <v>0.31</v>
      </c>
      <c r="AG38" s="5">
        <v>233</v>
      </c>
      <c r="AH38" s="20">
        <v>9.1</v>
      </c>
      <c r="AI38" s="5">
        <v>2.76</v>
      </c>
      <c r="AJ38" s="5">
        <v>7.0000000000000007E-2</v>
      </c>
      <c r="AK38" s="5">
        <v>1.0900000000000001</v>
      </c>
      <c r="AL38" s="5">
        <v>0.17</v>
      </c>
      <c r="AM38" s="5">
        <v>0.63</v>
      </c>
      <c r="AN38" s="5">
        <v>0.01</v>
      </c>
      <c r="AO38" s="5">
        <v>0.56000000000000005</v>
      </c>
      <c r="AP38" s="5">
        <v>0.52</v>
      </c>
      <c r="AQ38" s="5">
        <v>0.23</v>
      </c>
      <c r="AR38" s="5">
        <v>0.05</v>
      </c>
      <c r="AS38" s="5">
        <v>0.02</v>
      </c>
      <c r="AT38" s="5">
        <v>92</v>
      </c>
      <c r="AU38" s="5">
        <v>77</v>
      </c>
      <c r="AV38" s="5">
        <v>0.2</v>
      </c>
      <c r="AW38" s="5">
        <v>17</v>
      </c>
      <c r="AX38" s="5">
        <v>8</v>
      </c>
      <c r="AY38" s="5">
        <v>24</v>
      </c>
      <c r="AZ38" s="5">
        <v>139</v>
      </c>
      <c r="BA38" s="5">
        <v>141</v>
      </c>
      <c r="BB38" s="5">
        <v>1.98</v>
      </c>
      <c r="BC38" s="5">
        <v>0</v>
      </c>
      <c r="BD38" s="5">
        <v>15</v>
      </c>
      <c r="BE38" s="20">
        <v>0.5</v>
      </c>
      <c r="BF38" s="5">
        <v>0</v>
      </c>
      <c r="BG38" s="5">
        <v>0</v>
      </c>
      <c r="BH38" s="5">
        <v>1.6</v>
      </c>
      <c r="BI38" s="5">
        <v>1.17</v>
      </c>
      <c r="BJ38" s="5"/>
      <c r="BK38" s="5"/>
      <c r="BL38" s="5"/>
      <c r="BM38" s="5">
        <v>354</v>
      </c>
      <c r="BN38" s="5">
        <v>18</v>
      </c>
      <c r="BO38" s="5">
        <v>1418</v>
      </c>
      <c r="BP38" s="5">
        <v>505</v>
      </c>
      <c r="BQ38" s="5"/>
      <c r="BR38" s="5"/>
      <c r="BS38" s="5">
        <v>233</v>
      </c>
      <c r="BT38" s="5">
        <v>17</v>
      </c>
      <c r="BU38" s="5">
        <v>444</v>
      </c>
      <c r="BV38" s="5">
        <v>92</v>
      </c>
      <c r="BW38" s="5"/>
      <c r="BX38" s="5"/>
      <c r="BY38" s="5">
        <v>9.1</v>
      </c>
      <c r="BZ38" s="5">
        <v>0.6</v>
      </c>
      <c r="CA38" s="5">
        <v>16.399999999999999</v>
      </c>
      <c r="CB38" s="20">
        <v>3.2</v>
      </c>
      <c r="CC38" s="5">
        <v>4</v>
      </c>
      <c r="CD38" s="5">
        <v>441</v>
      </c>
      <c r="CE38" s="20">
        <v>16.3</v>
      </c>
      <c r="CF38" s="5">
        <v>51.57</v>
      </c>
      <c r="CG38" s="5">
        <v>1.1499999999999999</v>
      </c>
      <c r="CH38" s="5">
        <v>16.91</v>
      </c>
      <c r="CI38" s="5">
        <v>10.08</v>
      </c>
      <c r="CJ38" s="5">
        <v>0.19</v>
      </c>
      <c r="CK38" s="5">
        <v>4.49</v>
      </c>
      <c r="CL38" s="5">
        <v>7.34</v>
      </c>
      <c r="CM38" s="5">
        <v>3.82</v>
      </c>
      <c r="CN38" s="5">
        <v>0.81</v>
      </c>
      <c r="CO38" s="5">
        <v>0.24</v>
      </c>
      <c r="CP38" s="5">
        <v>1845</v>
      </c>
      <c r="CQ38" s="5"/>
      <c r="CR38" s="5"/>
      <c r="CS38" s="5">
        <v>1270</v>
      </c>
      <c r="CT38" s="5">
        <v>3.94</v>
      </c>
      <c r="CU38" s="20">
        <v>345</v>
      </c>
      <c r="CV38" s="5">
        <v>2.58</v>
      </c>
      <c r="CW38" s="5">
        <v>0.06</v>
      </c>
      <c r="CX38" s="5">
        <v>0.85</v>
      </c>
      <c r="CY38" s="5">
        <v>0.5</v>
      </c>
      <c r="CZ38" s="5">
        <v>0.01</v>
      </c>
      <c r="DA38" s="5">
        <v>0.22</v>
      </c>
      <c r="DB38" s="5">
        <v>0.37</v>
      </c>
      <c r="DC38" s="5">
        <v>0.19</v>
      </c>
      <c r="DD38" s="5">
        <v>0.04</v>
      </c>
      <c r="DE38" s="5">
        <v>0.01</v>
      </c>
      <c r="DF38" s="5">
        <v>92</v>
      </c>
      <c r="DG38" s="5"/>
      <c r="DH38" s="5"/>
      <c r="DI38" s="5">
        <v>64</v>
      </c>
      <c r="DJ38" s="5">
        <v>0.2</v>
      </c>
      <c r="DK38" s="20">
        <v>17</v>
      </c>
      <c r="DL38" s="5"/>
      <c r="DM38" s="5"/>
      <c r="DN38" s="5"/>
      <c r="DO38" s="5"/>
      <c r="DP38" s="5"/>
      <c r="DQ38" s="20">
        <v>72.8</v>
      </c>
      <c r="DR38" s="5"/>
      <c r="DS38" s="5"/>
      <c r="DT38" s="5"/>
      <c r="DU38" s="5"/>
      <c r="DV38" s="5"/>
      <c r="DW38" s="20">
        <v>2</v>
      </c>
      <c r="DX38" s="5"/>
      <c r="DY38" s="5"/>
      <c r="DZ38" s="5"/>
      <c r="EA38" s="5"/>
      <c r="EB38" s="5">
        <v>76</v>
      </c>
      <c r="EC38" s="5"/>
      <c r="ED38" s="5"/>
      <c r="EE38" s="5"/>
      <c r="EF38" s="5"/>
      <c r="EG38" s="20"/>
      <c r="EH38" s="5"/>
      <c r="EI38" s="5"/>
      <c r="EJ38" s="5"/>
      <c r="EK38" s="5"/>
      <c r="EL38" s="5"/>
      <c r="EM38" s="21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4"/>
    </row>
    <row r="39" spans="1:181" ht="15" x14ac:dyDescent="0.2">
      <c r="A39" s="4" t="s">
        <v>372</v>
      </c>
      <c r="B39" s="4" t="s">
        <v>1</v>
      </c>
      <c r="C39" s="4" t="s">
        <v>2</v>
      </c>
      <c r="D39" s="4" t="s">
        <v>3</v>
      </c>
      <c r="E39" s="5" t="s">
        <v>3</v>
      </c>
      <c r="F39" s="5" t="s">
        <v>373</v>
      </c>
      <c r="G39" s="5">
        <v>0.2</v>
      </c>
      <c r="H39" s="5">
        <v>0.01</v>
      </c>
      <c r="I39" s="5">
        <v>1.5</v>
      </c>
      <c r="J39" s="20">
        <v>0.3</v>
      </c>
      <c r="K39" s="5">
        <v>51.98</v>
      </c>
      <c r="L39" s="5">
        <v>1.03</v>
      </c>
      <c r="M39" s="5">
        <v>17.02</v>
      </c>
      <c r="N39" s="5">
        <v>2.2200000000000002</v>
      </c>
      <c r="O39" s="5">
        <v>7.55</v>
      </c>
      <c r="P39" s="5">
        <v>0.14000000000000001</v>
      </c>
      <c r="Q39" s="5">
        <v>3.56</v>
      </c>
      <c r="R39" s="5">
        <v>7.41</v>
      </c>
      <c r="S39" s="5">
        <v>3.94</v>
      </c>
      <c r="T39" s="5">
        <v>0.85</v>
      </c>
      <c r="U39" s="5">
        <v>0.27</v>
      </c>
      <c r="V39" s="5">
        <v>1708</v>
      </c>
      <c r="W39" s="5">
        <v>1195</v>
      </c>
      <c r="X39" s="5">
        <v>3.99</v>
      </c>
      <c r="Y39" s="5">
        <v>202</v>
      </c>
      <c r="Z39" s="20">
        <v>100.3</v>
      </c>
      <c r="AA39" s="5">
        <v>1050</v>
      </c>
      <c r="AB39" s="5">
        <v>1033</v>
      </c>
      <c r="AC39" s="5">
        <v>790</v>
      </c>
      <c r="AD39" s="5">
        <v>1007</v>
      </c>
      <c r="AE39" s="5">
        <v>-1.9</v>
      </c>
      <c r="AF39" s="5">
        <v>0.31</v>
      </c>
      <c r="AG39" s="5">
        <v>200</v>
      </c>
      <c r="AH39" s="20">
        <v>7.9</v>
      </c>
      <c r="AI39" s="5">
        <v>2.48</v>
      </c>
      <c r="AJ39" s="5">
        <v>0.06</v>
      </c>
      <c r="AK39" s="5">
        <v>0.94</v>
      </c>
      <c r="AL39" s="5">
        <v>0.15</v>
      </c>
      <c r="AM39" s="5">
        <v>0.5</v>
      </c>
      <c r="AN39" s="5">
        <v>0.01</v>
      </c>
      <c r="AO39" s="5">
        <v>0.62</v>
      </c>
      <c r="AP39" s="5">
        <v>0.38</v>
      </c>
      <c r="AQ39" s="5">
        <v>0.22</v>
      </c>
      <c r="AR39" s="5">
        <v>0.05</v>
      </c>
      <c r="AS39" s="5">
        <v>0.01</v>
      </c>
      <c r="AT39" s="5">
        <v>78</v>
      </c>
      <c r="AU39" s="5">
        <v>69</v>
      </c>
      <c r="AV39" s="5">
        <v>0.2</v>
      </c>
      <c r="AW39" s="5">
        <v>10</v>
      </c>
      <c r="AX39" s="5">
        <v>8</v>
      </c>
      <c r="AY39" s="5">
        <v>25</v>
      </c>
      <c r="AZ39" s="5">
        <v>135</v>
      </c>
      <c r="BA39" s="5">
        <v>139</v>
      </c>
      <c r="BB39" s="5">
        <v>2.0699999999999998</v>
      </c>
      <c r="BC39" s="5">
        <v>0</v>
      </c>
      <c r="BD39" s="5">
        <v>14</v>
      </c>
      <c r="BE39" s="20">
        <v>0.5</v>
      </c>
      <c r="BF39" s="5">
        <v>0</v>
      </c>
      <c r="BG39" s="5">
        <v>0.1</v>
      </c>
      <c r="BH39" s="5">
        <v>1.2</v>
      </c>
      <c r="BI39" s="5">
        <v>1.31</v>
      </c>
      <c r="BJ39" s="5"/>
      <c r="BK39" s="5"/>
      <c r="BL39" s="5"/>
      <c r="BM39" s="5">
        <v>202</v>
      </c>
      <c r="BN39" s="5">
        <v>14</v>
      </c>
      <c r="BO39" s="5">
        <v>759</v>
      </c>
      <c r="BP39" s="5">
        <v>336</v>
      </c>
      <c r="BQ39" s="5"/>
      <c r="BR39" s="5"/>
      <c r="BS39" s="5">
        <v>200</v>
      </c>
      <c r="BT39" s="5">
        <v>18</v>
      </c>
      <c r="BU39" s="5">
        <v>325</v>
      </c>
      <c r="BV39" s="5">
        <v>63</v>
      </c>
      <c r="BW39" s="5"/>
      <c r="BX39" s="5"/>
      <c r="BY39" s="5">
        <v>7.9</v>
      </c>
      <c r="BZ39" s="5">
        <v>0.6</v>
      </c>
      <c r="CA39" s="5">
        <v>12.3</v>
      </c>
      <c r="CB39" s="20">
        <v>2.2000000000000002</v>
      </c>
      <c r="CC39" s="5">
        <v>4.3</v>
      </c>
      <c r="CD39" s="5">
        <v>349</v>
      </c>
      <c r="CE39" s="20">
        <v>13.1</v>
      </c>
      <c r="CF39" s="5">
        <v>51.72</v>
      </c>
      <c r="CG39" s="5">
        <v>1.01</v>
      </c>
      <c r="CH39" s="5">
        <v>16.7</v>
      </c>
      <c r="CI39" s="5">
        <v>9.82</v>
      </c>
      <c r="CJ39" s="5">
        <v>0.14000000000000001</v>
      </c>
      <c r="CK39" s="5">
        <v>4.21</v>
      </c>
      <c r="CL39" s="5">
        <v>7.27</v>
      </c>
      <c r="CM39" s="5">
        <v>3.87</v>
      </c>
      <c r="CN39" s="5">
        <v>0.83</v>
      </c>
      <c r="CO39" s="5">
        <v>0.26</v>
      </c>
      <c r="CP39" s="5">
        <v>1676</v>
      </c>
      <c r="CQ39" s="5"/>
      <c r="CR39" s="5"/>
      <c r="CS39" s="5">
        <v>1172</v>
      </c>
      <c r="CT39" s="5">
        <v>3.91</v>
      </c>
      <c r="CU39" s="20">
        <v>198</v>
      </c>
      <c r="CV39" s="5">
        <v>2.59</v>
      </c>
      <c r="CW39" s="5">
        <v>0.05</v>
      </c>
      <c r="CX39" s="5">
        <v>0.83</v>
      </c>
      <c r="CY39" s="5">
        <v>0.49</v>
      </c>
      <c r="CZ39" s="5">
        <v>0.01</v>
      </c>
      <c r="DA39" s="5">
        <v>0.21</v>
      </c>
      <c r="DB39" s="5">
        <v>0.36</v>
      </c>
      <c r="DC39" s="5">
        <v>0.19</v>
      </c>
      <c r="DD39" s="5">
        <v>0.04</v>
      </c>
      <c r="DE39" s="5">
        <v>0.01</v>
      </c>
      <c r="DF39" s="5">
        <v>84</v>
      </c>
      <c r="DG39" s="5"/>
      <c r="DH39" s="5"/>
      <c r="DI39" s="5">
        <v>59</v>
      </c>
      <c r="DJ39" s="5">
        <v>0.2</v>
      </c>
      <c r="DK39" s="20">
        <v>10</v>
      </c>
      <c r="DL39" s="5"/>
      <c r="DM39" s="5"/>
      <c r="DN39" s="5"/>
      <c r="DO39" s="5"/>
      <c r="DP39" s="5"/>
      <c r="DQ39" s="20">
        <v>72.8</v>
      </c>
      <c r="DR39" s="5"/>
      <c r="DS39" s="5"/>
      <c r="DT39" s="5"/>
      <c r="DU39" s="5"/>
      <c r="DV39" s="5"/>
      <c r="DW39" s="20">
        <v>2</v>
      </c>
      <c r="DX39" s="5"/>
      <c r="DY39" s="5"/>
      <c r="DZ39" s="5"/>
      <c r="EA39" s="5"/>
      <c r="EB39" s="5">
        <v>123</v>
      </c>
      <c r="EC39" s="5"/>
      <c r="ED39" s="5"/>
      <c r="EE39" s="5"/>
      <c r="EF39" s="5"/>
      <c r="EG39" s="20"/>
      <c r="EH39" s="5"/>
      <c r="EI39" s="5"/>
      <c r="EJ39" s="5"/>
      <c r="EK39" s="5"/>
      <c r="EL39" s="5"/>
      <c r="EM39" s="21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4"/>
    </row>
    <row r="40" spans="1:181" ht="15" x14ac:dyDescent="0.2">
      <c r="A40" s="4" t="s">
        <v>374</v>
      </c>
      <c r="B40" s="4" t="s">
        <v>1</v>
      </c>
      <c r="C40" s="4" t="s">
        <v>2</v>
      </c>
      <c r="D40" s="4" t="s">
        <v>3</v>
      </c>
      <c r="E40" s="5" t="s">
        <v>3</v>
      </c>
      <c r="F40" s="5" t="s">
        <v>373</v>
      </c>
      <c r="G40" s="5">
        <v>0.2</v>
      </c>
      <c r="H40" s="5">
        <v>0.01</v>
      </c>
      <c r="I40" s="5">
        <v>1.5</v>
      </c>
      <c r="J40" s="20">
        <v>0.3</v>
      </c>
      <c r="K40" s="5">
        <v>48.58</v>
      </c>
      <c r="L40" s="5">
        <v>0.95</v>
      </c>
      <c r="M40" s="5">
        <v>19.12</v>
      </c>
      <c r="N40" s="5">
        <v>1.97</v>
      </c>
      <c r="O40" s="5">
        <v>6.63</v>
      </c>
      <c r="P40" s="5">
        <v>0.15</v>
      </c>
      <c r="Q40" s="5">
        <v>3.78</v>
      </c>
      <c r="R40" s="5">
        <v>9.43</v>
      </c>
      <c r="S40" s="5">
        <v>3.06</v>
      </c>
      <c r="T40" s="5">
        <v>0.62</v>
      </c>
      <c r="U40" s="5">
        <v>0.18</v>
      </c>
      <c r="V40" s="5">
        <v>2573</v>
      </c>
      <c r="W40" s="5">
        <v>980</v>
      </c>
      <c r="X40" s="5">
        <v>4.45</v>
      </c>
      <c r="Y40" s="5">
        <v>620</v>
      </c>
      <c r="Z40" s="20">
        <v>99.3</v>
      </c>
      <c r="AA40" s="5">
        <v>1044</v>
      </c>
      <c r="AB40" s="5">
        <v>1026</v>
      </c>
      <c r="AC40" s="5">
        <v>810</v>
      </c>
      <c r="AD40" s="5">
        <v>1039</v>
      </c>
      <c r="AE40" s="5">
        <v>-2.1</v>
      </c>
      <c r="AF40" s="5">
        <v>0.32</v>
      </c>
      <c r="AG40" s="5">
        <v>299</v>
      </c>
      <c r="AH40" s="20">
        <v>11.4</v>
      </c>
      <c r="AI40" s="5">
        <v>2.08</v>
      </c>
      <c r="AJ40" s="5">
        <v>0.05</v>
      </c>
      <c r="AK40" s="5">
        <v>1.01</v>
      </c>
      <c r="AL40" s="5">
        <v>0.12</v>
      </c>
      <c r="AM40" s="5">
        <v>0.42</v>
      </c>
      <c r="AN40" s="5">
        <v>0.01</v>
      </c>
      <c r="AO40" s="5">
        <v>0.59</v>
      </c>
      <c r="AP40" s="5">
        <v>0.63</v>
      </c>
      <c r="AQ40" s="5">
        <v>0.16</v>
      </c>
      <c r="AR40" s="5">
        <v>0.03</v>
      </c>
      <c r="AS40" s="5">
        <v>0.01</v>
      </c>
      <c r="AT40" s="5">
        <v>141</v>
      </c>
      <c r="AU40" s="5">
        <v>47</v>
      </c>
      <c r="AV40" s="5">
        <v>0.2</v>
      </c>
      <c r="AW40" s="5">
        <v>28</v>
      </c>
      <c r="AX40" s="5">
        <v>8</v>
      </c>
      <c r="AY40" s="5">
        <v>23</v>
      </c>
      <c r="AZ40" s="5">
        <v>140</v>
      </c>
      <c r="BA40" s="5">
        <v>118</v>
      </c>
      <c r="BB40" s="5">
        <v>1.73</v>
      </c>
      <c r="BC40" s="5">
        <v>0</v>
      </c>
      <c r="BD40" s="5">
        <v>25</v>
      </c>
      <c r="BE40" s="20">
        <v>0.9</v>
      </c>
      <c r="BF40" s="5">
        <v>0</v>
      </c>
      <c r="BG40" s="5">
        <v>0.1</v>
      </c>
      <c r="BH40" s="5">
        <v>1.3</v>
      </c>
      <c r="BI40" s="5">
        <v>1.25</v>
      </c>
      <c r="BJ40" s="5"/>
      <c r="BK40" s="5"/>
      <c r="BL40" s="5"/>
      <c r="BM40" s="5">
        <v>620</v>
      </c>
      <c r="BN40" s="5">
        <v>28</v>
      </c>
      <c r="BO40" s="5">
        <v>1653</v>
      </c>
      <c r="BP40" s="5">
        <v>638</v>
      </c>
      <c r="BQ40" s="5"/>
      <c r="BR40" s="5"/>
      <c r="BS40" s="5">
        <v>299</v>
      </c>
      <c r="BT40" s="5">
        <v>26</v>
      </c>
      <c r="BU40" s="5">
        <v>475</v>
      </c>
      <c r="BV40" s="5">
        <v>112</v>
      </c>
      <c r="BW40" s="5"/>
      <c r="BX40" s="5"/>
      <c r="BY40" s="5">
        <v>11.4</v>
      </c>
      <c r="BZ40" s="5">
        <v>0.9</v>
      </c>
      <c r="CA40" s="5">
        <v>17.5</v>
      </c>
      <c r="CB40" s="20">
        <v>3.8</v>
      </c>
      <c r="CC40" s="5">
        <v>3.5</v>
      </c>
      <c r="CD40" s="5">
        <v>409</v>
      </c>
      <c r="CE40" s="20">
        <v>15.2</v>
      </c>
      <c r="CF40" s="5">
        <v>48.36</v>
      </c>
      <c r="CG40" s="5">
        <v>0.93</v>
      </c>
      <c r="CH40" s="5">
        <v>18.71</v>
      </c>
      <c r="CI40" s="5">
        <v>8.66</v>
      </c>
      <c r="CJ40" s="5">
        <v>0.15</v>
      </c>
      <c r="CK40" s="5">
        <v>4.55</v>
      </c>
      <c r="CL40" s="5">
        <v>9.23</v>
      </c>
      <c r="CM40" s="5">
        <v>2.99</v>
      </c>
      <c r="CN40" s="5">
        <v>0.61</v>
      </c>
      <c r="CO40" s="5">
        <v>0.18</v>
      </c>
      <c r="CP40" s="5">
        <v>2518</v>
      </c>
      <c r="CQ40" s="5"/>
      <c r="CR40" s="5"/>
      <c r="CS40" s="5">
        <v>960</v>
      </c>
      <c r="CT40" s="5">
        <v>4.3499999999999996</v>
      </c>
      <c r="CU40" s="20">
        <v>607</v>
      </c>
      <c r="CV40" s="5">
        <v>2.42</v>
      </c>
      <c r="CW40" s="5">
        <v>0.05</v>
      </c>
      <c r="CX40" s="5">
        <v>0.94</v>
      </c>
      <c r="CY40" s="5">
        <v>0.43</v>
      </c>
      <c r="CZ40" s="5">
        <v>0.01</v>
      </c>
      <c r="DA40" s="5">
        <v>0.23</v>
      </c>
      <c r="DB40" s="5">
        <v>0.46</v>
      </c>
      <c r="DC40" s="5">
        <v>0.15</v>
      </c>
      <c r="DD40" s="5">
        <v>0.03</v>
      </c>
      <c r="DE40" s="5">
        <v>0.01</v>
      </c>
      <c r="DF40" s="5">
        <v>126</v>
      </c>
      <c r="DG40" s="5"/>
      <c r="DH40" s="5"/>
      <c r="DI40" s="5">
        <v>48</v>
      </c>
      <c r="DJ40" s="5">
        <v>0.22</v>
      </c>
      <c r="DK40" s="20">
        <v>30</v>
      </c>
      <c r="DL40" s="5"/>
      <c r="DM40" s="5"/>
      <c r="DN40" s="5"/>
      <c r="DO40" s="5"/>
      <c r="DP40" s="5"/>
      <c r="DQ40" s="20">
        <v>76.3</v>
      </c>
      <c r="DR40" s="5"/>
      <c r="DS40" s="5"/>
      <c r="DT40" s="5"/>
      <c r="DU40" s="5"/>
      <c r="DV40" s="5"/>
      <c r="DW40" s="20">
        <v>2</v>
      </c>
      <c r="DX40" s="5"/>
      <c r="DY40" s="5"/>
      <c r="DZ40" s="5"/>
      <c r="EA40" s="5"/>
      <c r="EB40" s="5">
        <v>167</v>
      </c>
      <c r="EC40" s="5"/>
      <c r="ED40" s="5"/>
      <c r="EE40" s="5"/>
      <c r="EF40" s="5"/>
      <c r="EG40" s="20"/>
      <c r="EH40" s="5"/>
      <c r="EI40" s="5"/>
      <c r="EJ40" s="5"/>
      <c r="EK40" s="5"/>
      <c r="EL40" s="5"/>
      <c r="EM40" s="21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4"/>
    </row>
    <row r="41" spans="1:181" ht="15" x14ac:dyDescent="0.2">
      <c r="A41" s="4" t="s">
        <v>375</v>
      </c>
      <c r="B41" s="4" t="s">
        <v>1</v>
      </c>
      <c r="C41" s="4" t="s">
        <v>2</v>
      </c>
      <c r="D41" s="4" t="s">
        <v>3</v>
      </c>
      <c r="E41" s="5" t="s">
        <v>3</v>
      </c>
      <c r="F41" s="5" t="s">
        <v>373</v>
      </c>
      <c r="G41" s="5">
        <v>0.2</v>
      </c>
      <c r="H41" s="5">
        <v>0.01</v>
      </c>
      <c r="I41" s="5">
        <v>1.5</v>
      </c>
      <c r="J41" s="20">
        <v>0.3</v>
      </c>
      <c r="K41" s="5">
        <v>54.87</v>
      </c>
      <c r="L41" s="5">
        <v>0.99</v>
      </c>
      <c r="M41" s="5">
        <v>16.54</v>
      </c>
      <c r="N41" s="5">
        <v>1.91</v>
      </c>
      <c r="O41" s="5">
        <v>6.63</v>
      </c>
      <c r="P41" s="5">
        <v>0.16</v>
      </c>
      <c r="Q41" s="5">
        <v>3.5</v>
      </c>
      <c r="R41" s="5">
        <v>5.99</v>
      </c>
      <c r="S41" s="5">
        <v>4.2</v>
      </c>
      <c r="T41" s="5">
        <v>1.19</v>
      </c>
      <c r="U41" s="5">
        <v>0.3</v>
      </c>
      <c r="V41" s="5">
        <v>1187</v>
      </c>
      <c r="W41" s="5">
        <v>1322</v>
      </c>
      <c r="X41" s="5">
        <v>3.67</v>
      </c>
      <c r="Y41" s="5">
        <v>302</v>
      </c>
      <c r="Z41" s="20">
        <v>100.2</v>
      </c>
      <c r="AA41" s="5">
        <v>1054</v>
      </c>
      <c r="AB41" s="5">
        <v>1049</v>
      </c>
      <c r="AC41" s="5">
        <v>793</v>
      </c>
      <c r="AD41" s="5">
        <v>1003</v>
      </c>
      <c r="AE41" s="5">
        <v>-1</v>
      </c>
      <c r="AF41" s="5">
        <v>0.35</v>
      </c>
      <c r="AG41" s="5">
        <v>202</v>
      </c>
      <c r="AH41" s="20">
        <v>7.9</v>
      </c>
      <c r="AI41" s="5">
        <v>2.81</v>
      </c>
      <c r="AJ41" s="5">
        <v>0.05</v>
      </c>
      <c r="AK41" s="5">
        <v>0.75</v>
      </c>
      <c r="AL41" s="5">
        <v>0.12</v>
      </c>
      <c r="AM41" s="5">
        <v>0.66</v>
      </c>
      <c r="AN41" s="5">
        <v>0.01</v>
      </c>
      <c r="AO41" s="5">
        <v>0.56999999999999995</v>
      </c>
      <c r="AP41" s="5">
        <v>0.28999999999999998</v>
      </c>
      <c r="AQ41" s="5">
        <v>0.21</v>
      </c>
      <c r="AR41" s="5">
        <v>0.06</v>
      </c>
      <c r="AS41" s="5">
        <v>0.02</v>
      </c>
      <c r="AT41" s="5">
        <v>48</v>
      </c>
      <c r="AU41" s="5">
        <v>57</v>
      </c>
      <c r="AV41" s="5">
        <v>0.2</v>
      </c>
      <c r="AW41" s="5">
        <v>17</v>
      </c>
      <c r="AX41" s="5">
        <v>6</v>
      </c>
      <c r="AY41" s="5">
        <v>23</v>
      </c>
      <c r="AZ41" s="5">
        <v>124</v>
      </c>
      <c r="BA41" s="5">
        <v>125</v>
      </c>
      <c r="BB41" s="5">
        <v>1.75</v>
      </c>
      <c r="BC41" s="5">
        <v>0</v>
      </c>
      <c r="BD41" s="5">
        <v>12</v>
      </c>
      <c r="BE41" s="20">
        <v>0.4</v>
      </c>
      <c r="BF41" s="5">
        <v>0</v>
      </c>
      <c r="BG41" s="5">
        <v>0.1</v>
      </c>
      <c r="BH41" s="5">
        <v>1</v>
      </c>
      <c r="BI41" s="5">
        <v>0.75</v>
      </c>
      <c r="BJ41" s="5"/>
      <c r="BK41" s="5"/>
      <c r="BL41" s="5"/>
      <c r="BM41" s="5">
        <v>302</v>
      </c>
      <c r="BN41" s="5">
        <v>20</v>
      </c>
      <c r="BO41" s="5">
        <v>971</v>
      </c>
      <c r="BP41" s="5">
        <v>398</v>
      </c>
      <c r="BQ41" s="5"/>
      <c r="BR41" s="5"/>
      <c r="BS41" s="5">
        <v>202</v>
      </c>
      <c r="BT41" s="5">
        <v>13</v>
      </c>
      <c r="BU41" s="5">
        <v>339</v>
      </c>
      <c r="BV41" s="5">
        <v>70</v>
      </c>
      <c r="BW41" s="5"/>
      <c r="BX41" s="5"/>
      <c r="BY41" s="5">
        <v>7.9</v>
      </c>
      <c r="BZ41" s="5">
        <v>0.5</v>
      </c>
      <c r="CA41" s="5">
        <v>12.8</v>
      </c>
      <c r="CB41" s="20">
        <v>2.4</v>
      </c>
      <c r="CC41" s="5">
        <v>4</v>
      </c>
      <c r="CD41" s="5">
        <v>363</v>
      </c>
      <c r="CE41" s="20">
        <v>13.6</v>
      </c>
      <c r="CF41" s="5">
        <v>54.7</v>
      </c>
      <c r="CG41" s="5">
        <v>0.98</v>
      </c>
      <c r="CH41" s="5">
        <v>16.38</v>
      </c>
      <c r="CI41" s="5">
        <v>8.51</v>
      </c>
      <c r="CJ41" s="5">
        <v>0.16</v>
      </c>
      <c r="CK41" s="5">
        <v>3.84</v>
      </c>
      <c r="CL41" s="5">
        <v>5.93</v>
      </c>
      <c r="CM41" s="5">
        <v>4.16</v>
      </c>
      <c r="CN41" s="5">
        <v>1.18</v>
      </c>
      <c r="CO41" s="5">
        <v>0.3</v>
      </c>
      <c r="CP41" s="5">
        <v>1175</v>
      </c>
      <c r="CQ41" s="5"/>
      <c r="CR41" s="5"/>
      <c r="CS41" s="5">
        <v>1309</v>
      </c>
      <c r="CT41" s="5">
        <v>3.63</v>
      </c>
      <c r="CU41" s="20">
        <v>299</v>
      </c>
      <c r="CV41" s="5">
        <v>2.74</v>
      </c>
      <c r="CW41" s="5">
        <v>0.05</v>
      </c>
      <c r="CX41" s="5">
        <v>0.82</v>
      </c>
      <c r="CY41" s="5">
        <v>0.43</v>
      </c>
      <c r="CZ41" s="5">
        <v>0.01</v>
      </c>
      <c r="DA41" s="5">
        <v>0.19</v>
      </c>
      <c r="DB41" s="5">
        <v>0.3</v>
      </c>
      <c r="DC41" s="5">
        <v>0.21</v>
      </c>
      <c r="DD41" s="5">
        <v>0.06</v>
      </c>
      <c r="DE41" s="5">
        <v>0.01</v>
      </c>
      <c r="DF41" s="5">
        <v>59</v>
      </c>
      <c r="DG41" s="5"/>
      <c r="DH41" s="5"/>
      <c r="DI41" s="5">
        <v>65</v>
      </c>
      <c r="DJ41" s="5">
        <v>0.18</v>
      </c>
      <c r="DK41" s="20">
        <v>15</v>
      </c>
      <c r="DL41" s="5"/>
      <c r="DM41" s="5"/>
      <c r="DN41" s="5"/>
      <c r="DO41" s="5"/>
      <c r="DP41" s="5"/>
      <c r="DQ41" s="20">
        <v>72.8</v>
      </c>
      <c r="DR41" s="5"/>
      <c r="DS41" s="5"/>
      <c r="DT41" s="5"/>
      <c r="DU41" s="5"/>
      <c r="DV41" s="5"/>
      <c r="DW41" s="20">
        <v>2</v>
      </c>
      <c r="DX41" s="5"/>
      <c r="DY41" s="5"/>
      <c r="DZ41" s="5"/>
      <c r="EA41" s="5"/>
      <c r="EB41" s="5">
        <v>111</v>
      </c>
      <c r="EC41" s="5"/>
      <c r="ED41" s="5"/>
      <c r="EE41" s="5"/>
      <c r="EF41" s="5"/>
      <c r="EG41" s="20"/>
      <c r="EH41" s="5"/>
      <c r="EI41" s="5"/>
      <c r="EJ41" s="5"/>
      <c r="EK41" s="5"/>
      <c r="EL41" s="5"/>
      <c r="EM41" s="21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4"/>
    </row>
    <row r="42" spans="1:181" ht="15" x14ac:dyDescent="0.2">
      <c r="A42" s="4" t="s">
        <v>376</v>
      </c>
      <c r="B42" s="4" t="s">
        <v>1</v>
      </c>
      <c r="C42" s="4" t="s">
        <v>2</v>
      </c>
      <c r="D42" s="4" t="s">
        <v>3</v>
      </c>
      <c r="E42" s="5" t="s">
        <v>3</v>
      </c>
      <c r="F42" s="5" t="s">
        <v>373</v>
      </c>
      <c r="G42" s="5">
        <v>0.2</v>
      </c>
      <c r="H42" s="5">
        <v>0.01</v>
      </c>
      <c r="I42" s="5">
        <v>1.5</v>
      </c>
      <c r="J42" s="20">
        <v>0.3</v>
      </c>
      <c r="K42" s="5">
        <v>52.99</v>
      </c>
      <c r="L42" s="5">
        <v>1.17</v>
      </c>
      <c r="M42" s="5">
        <v>17.36</v>
      </c>
      <c r="N42" s="5">
        <v>2.14</v>
      </c>
      <c r="O42" s="5">
        <v>7.75</v>
      </c>
      <c r="P42" s="5">
        <v>0.15</v>
      </c>
      <c r="Q42" s="5">
        <v>3.61</v>
      </c>
      <c r="R42" s="5">
        <v>7.47</v>
      </c>
      <c r="S42" s="5">
        <v>3.84</v>
      </c>
      <c r="T42" s="5">
        <v>0.84</v>
      </c>
      <c r="U42" s="5">
        <v>0.28000000000000003</v>
      </c>
      <c r="V42" s="5">
        <v>1733</v>
      </c>
      <c r="W42" s="5">
        <v>1065</v>
      </c>
      <c r="X42" s="5">
        <v>3.94</v>
      </c>
      <c r="Y42" s="5">
        <v>402</v>
      </c>
      <c r="Z42" s="20">
        <v>101.8</v>
      </c>
      <c r="AA42" s="5">
        <v>1027</v>
      </c>
      <c r="AB42" s="5">
        <v>1043</v>
      </c>
      <c r="AC42" s="5">
        <v>669</v>
      </c>
      <c r="AD42" s="5">
        <v>908</v>
      </c>
      <c r="AE42" s="5">
        <v>0.2</v>
      </c>
      <c r="AF42" s="5">
        <v>0.32</v>
      </c>
      <c r="AG42" s="5">
        <v>251</v>
      </c>
      <c r="AH42" s="20">
        <v>9.6999999999999993</v>
      </c>
      <c r="AI42" s="5">
        <v>2.4</v>
      </c>
      <c r="AJ42" s="5">
        <v>0.06</v>
      </c>
      <c r="AK42" s="5">
        <v>1.06</v>
      </c>
      <c r="AL42" s="5">
        <v>0.12</v>
      </c>
      <c r="AM42" s="5">
        <v>0.62</v>
      </c>
      <c r="AN42" s="5">
        <v>0.01</v>
      </c>
      <c r="AO42" s="5">
        <v>0.54</v>
      </c>
      <c r="AP42" s="5">
        <v>0.4</v>
      </c>
      <c r="AQ42" s="5">
        <v>0.19</v>
      </c>
      <c r="AR42" s="5">
        <v>0.05</v>
      </c>
      <c r="AS42" s="5">
        <v>0.01</v>
      </c>
      <c r="AT42" s="5">
        <v>104</v>
      </c>
      <c r="AU42" s="5">
        <v>56</v>
      </c>
      <c r="AV42" s="5">
        <v>0.2</v>
      </c>
      <c r="AW42" s="5">
        <v>21</v>
      </c>
      <c r="AX42" s="5">
        <v>7</v>
      </c>
      <c r="AY42" s="5">
        <v>22</v>
      </c>
      <c r="AZ42" s="5">
        <v>138</v>
      </c>
      <c r="BA42" s="5">
        <v>118</v>
      </c>
      <c r="BB42" s="5">
        <v>1.8</v>
      </c>
      <c r="BC42" s="5">
        <v>0</v>
      </c>
      <c r="BD42" s="5">
        <v>17</v>
      </c>
      <c r="BE42" s="20">
        <v>0.6</v>
      </c>
      <c r="BF42" s="5">
        <v>0</v>
      </c>
      <c r="BG42" s="5">
        <v>0.1</v>
      </c>
      <c r="BH42" s="5">
        <v>2.2000000000000002</v>
      </c>
      <c r="BI42" s="5">
        <v>1.25</v>
      </c>
      <c r="BJ42" s="5"/>
      <c r="BK42" s="5"/>
      <c r="BL42" s="5"/>
      <c r="BM42" s="5">
        <v>438</v>
      </c>
      <c r="BN42" s="5">
        <v>98</v>
      </c>
      <c r="BO42" s="5">
        <v>1846</v>
      </c>
      <c r="BP42" s="5">
        <v>532</v>
      </c>
      <c r="BQ42" s="5"/>
      <c r="BR42" s="5"/>
      <c r="BS42" s="5">
        <v>257</v>
      </c>
      <c r="BT42" s="5">
        <v>30</v>
      </c>
      <c r="BU42" s="5">
        <v>503</v>
      </c>
      <c r="BV42" s="5">
        <v>89</v>
      </c>
      <c r="BW42" s="5"/>
      <c r="BX42" s="5"/>
      <c r="BY42" s="5">
        <v>9.9</v>
      </c>
      <c r="BZ42" s="5">
        <v>1.1000000000000001</v>
      </c>
      <c r="CA42" s="5">
        <v>18.399999999999999</v>
      </c>
      <c r="CB42" s="20">
        <v>3</v>
      </c>
      <c r="CC42" s="5">
        <v>4</v>
      </c>
      <c r="CD42" s="5">
        <v>507</v>
      </c>
      <c r="CE42" s="20">
        <v>18.600000000000001</v>
      </c>
      <c r="CF42" s="5">
        <v>53.01</v>
      </c>
      <c r="CG42" s="5">
        <v>1.18</v>
      </c>
      <c r="CH42" s="5">
        <v>17.39</v>
      </c>
      <c r="CI42" s="5">
        <v>9.65</v>
      </c>
      <c r="CJ42" s="5">
        <v>0.15</v>
      </c>
      <c r="CK42" s="5">
        <v>3.56</v>
      </c>
      <c r="CL42" s="5">
        <v>7.48</v>
      </c>
      <c r="CM42" s="5">
        <v>3.84</v>
      </c>
      <c r="CN42" s="5">
        <v>0.84</v>
      </c>
      <c r="CO42" s="5">
        <v>0.28000000000000003</v>
      </c>
      <c r="CP42" s="5">
        <v>1736</v>
      </c>
      <c r="CQ42" s="5"/>
      <c r="CR42" s="5"/>
      <c r="CS42" s="5">
        <v>1067</v>
      </c>
      <c r="CT42" s="5">
        <v>3.94</v>
      </c>
      <c r="CU42" s="20">
        <v>402</v>
      </c>
      <c r="CV42" s="5">
        <v>2.65</v>
      </c>
      <c r="CW42" s="5">
        <v>0.06</v>
      </c>
      <c r="CX42" s="5">
        <v>0.87</v>
      </c>
      <c r="CY42" s="5">
        <v>0.48</v>
      </c>
      <c r="CZ42" s="5">
        <v>0.01</v>
      </c>
      <c r="DA42" s="5">
        <v>0.18</v>
      </c>
      <c r="DB42" s="5">
        <v>0.37</v>
      </c>
      <c r="DC42" s="5">
        <v>0.19</v>
      </c>
      <c r="DD42" s="5">
        <v>0.04</v>
      </c>
      <c r="DE42" s="5">
        <v>0.01</v>
      </c>
      <c r="DF42" s="5">
        <v>87</v>
      </c>
      <c r="DG42" s="5"/>
      <c r="DH42" s="5"/>
      <c r="DI42" s="5">
        <v>53</v>
      </c>
      <c r="DJ42" s="5">
        <v>0.2</v>
      </c>
      <c r="DK42" s="20">
        <v>20</v>
      </c>
      <c r="DL42" s="5"/>
      <c r="DM42" s="5"/>
      <c r="DN42" s="5"/>
      <c r="DO42" s="5"/>
      <c r="DP42" s="5"/>
      <c r="DQ42" s="20">
        <v>72.400000000000006</v>
      </c>
      <c r="DR42" s="5"/>
      <c r="DS42" s="5"/>
      <c r="DT42" s="5"/>
      <c r="DU42" s="5"/>
      <c r="DV42" s="5"/>
      <c r="DW42" s="20">
        <v>2</v>
      </c>
      <c r="DX42" s="5"/>
      <c r="DY42" s="5"/>
      <c r="DZ42" s="5"/>
      <c r="EA42" s="5"/>
      <c r="EB42" s="5">
        <v>46</v>
      </c>
      <c r="EC42" s="5"/>
      <c r="ED42" s="5"/>
      <c r="EE42" s="5"/>
      <c r="EF42" s="5"/>
      <c r="EG42" s="20"/>
      <c r="EH42" s="5"/>
      <c r="EI42" s="5"/>
      <c r="EJ42" s="5"/>
      <c r="EK42" s="5"/>
      <c r="EL42" s="5"/>
      <c r="EM42" s="21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4"/>
    </row>
    <row r="43" spans="1:181" ht="15" x14ac:dyDescent="0.2">
      <c r="A43" s="4" t="s">
        <v>377</v>
      </c>
      <c r="B43" s="4" t="s">
        <v>1</v>
      </c>
      <c r="C43" s="4" t="s">
        <v>2</v>
      </c>
      <c r="D43" s="4" t="s">
        <v>3</v>
      </c>
      <c r="E43" s="5" t="s">
        <v>3</v>
      </c>
      <c r="F43" s="5" t="s">
        <v>378</v>
      </c>
      <c r="G43" s="5">
        <v>0.2</v>
      </c>
      <c r="H43" s="5">
        <v>0.01</v>
      </c>
      <c r="I43" s="5"/>
      <c r="J43" s="20"/>
      <c r="K43" s="5">
        <v>51.53</v>
      </c>
      <c r="L43" s="5">
        <v>1.24</v>
      </c>
      <c r="M43" s="5">
        <v>17.920000000000002</v>
      </c>
      <c r="N43" s="5">
        <v>1.99</v>
      </c>
      <c r="O43" s="5">
        <v>7.86</v>
      </c>
      <c r="P43" s="5">
        <v>0.14000000000000001</v>
      </c>
      <c r="Q43" s="5">
        <v>3.82</v>
      </c>
      <c r="R43" s="5">
        <v>7.67</v>
      </c>
      <c r="S43" s="5">
        <v>3.29</v>
      </c>
      <c r="T43" s="5">
        <v>0.84</v>
      </c>
      <c r="U43" s="5">
        <v>0.24</v>
      </c>
      <c r="V43" s="5">
        <v>1671</v>
      </c>
      <c r="W43" s="5">
        <v>1108</v>
      </c>
      <c r="X43" s="5">
        <v>3.79</v>
      </c>
      <c r="Y43" s="5">
        <v>210</v>
      </c>
      <c r="Z43" s="20">
        <v>100.7</v>
      </c>
      <c r="AA43" s="5">
        <v>1000</v>
      </c>
      <c r="AB43" s="5">
        <v>1042</v>
      </c>
      <c r="AC43" s="5">
        <v>765</v>
      </c>
      <c r="AD43" s="5">
        <v>1000</v>
      </c>
      <c r="AE43" s="5">
        <v>2.7</v>
      </c>
      <c r="AF43" s="5">
        <v>0.32</v>
      </c>
      <c r="AG43" s="5">
        <v>210</v>
      </c>
      <c r="AH43" s="20">
        <v>8.1999999999999993</v>
      </c>
      <c r="AI43" s="5">
        <v>2.82</v>
      </c>
      <c r="AJ43" s="5">
        <v>0.08</v>
      </c>
      <c r="AK43" s="5">
        <v>0.99</v>
      </c>
      <c r="AL43" s="5">
        <v>0.13</v>
      </c>
      <c r="AM43" s="5">
        <v>0.66</v>
      </c>
      <c r="AN43" s="5">
        <v>0.01</v>
      </c>
      <c r="AO43" s="5">
        <v>0.6</v>
      </c>
      <c r="AP43" s="5">
        <v>0.44</v>
      </c>
      <c r="AQ43" s="5">
        <v>0.18</v>
      </c>
      <c r="AR43" s="5">
        <v>0.04</v>
      </c>
      <c r="AS43" s="5">
        <v>0.02</v>
      </c>
      <c r="AT43" s="5">
        <v>91</v>
      </c>
      <c r="AU43" s="5">
        <v>58</v>
      </c>
      <c r="AV43" s="5">
        <v>0.2</v>
      </c>
      <c r="AW43" s="5">
        <v>12</v>
      </c>
      <c r="AX43" s="5">
        <v>7</v>
      </c>
      <c r="AY43" s="5">
        <v>24</v>
      </c>
      <c r="AZ43" s="5">
        <v>202</v>
      </c>
      <c r="BA43" s="5">
        <v>15</v>
      </c>
      <c r="BB43" s="5">
        <v>2.1800000000000002</v>
      </c>
      <c r="BC43" s="5">
        <v>0.01</v>
      </c>
      <c r="BD43" s="5">
        <v>15</v>
      </c>
      <c r="BE43" s="20">
        <v>0.5</v>
      </c>
      <c r="BF43" s="5">
        <v>0.6</v>
      </c>
      <c r="BG43" s="5">
        <v>0.4</v>
      </c>
      <c r="BH43" s="5">
        <v>1.5</v>
      </c>
      <c r="BI43" s="5">
        <v>1.21</v>
      </c>
      <c r="BJ43" s="5"/>
      <c r="BK43" s="5"/>
      <c r="BL43" s="5"/>
      <c r="BM43" s="5">
        <v>481</v>
      </c>
      <c r="BN43" s="5">
        <v>189</v>
      </c>
      <c r="BO43" s="5">
        <v>915</v>
      </c>
      <c r="BP43" s="5">
        <v>360</v>
      </c>
      <c r="BQ43" s="5"/>
      <c r="BR43" s="5"/>
      <c r="BS43" s="5">
        <v>254</v>
      </c>
      <c r="BT43" s="5">
        <v>36</v>
      </c>
      <c r="BU43" s="5">
        <v>339</v>
      </c>
      <c r="BV43" s="5">
        <v>65</v>
      </c>
      <c r="BW43" s="5"/>
      <c r="BX43" s="5"/>
      <c r="BY43" s="5">
        <v>9.8000000000000007</v>
      </c>
      <c r="BZ43" s="5">
        <v>1.3</v>
      </c>
      <c r="CA43" s="5">
        <v>12.8</v>
      </c>
      <c r="CB43" s="20">
        <v>2.2999999999999998</v>
      </c>
      <c r="CC43" s="5">
        <v>3.7</v>
      </c>
      <c r="CD43" s="5">
        <v>332</v>
      </c>
      <c r="CE43" s="20">
        <v>12.6</v>
      </c>
      <c r="CF43" s="5">
        <v>51.9</v>
      </c>
      <c r="CG43" s="5">
        <v>1.27</v>
      </c>
      <c r="CH43" s="5">
        <v>18.41</v>
      </c>
      <c r="CI43" s="5">
        <v>9.2100000000000009</v>
      </c>
      <c r="CJ43" s="5">
        <v>0.15</v>
      </c>
      <c r="CK43" s="5">
        <v>2.95</v>
      </c>
      <c r="CL43" s="5">
        <v>7.88</v>
      </c>
      <c r="CM43" s="5">
        <v>3.38</v>
      </c>
      <c r="CN43" s="5">
        <v>0.87</v>
      </c>
      <c r="CO43" s="5">
        <v>0.25</v>
      </c>
      <c r="CP43" s="5">
        <v>1716</v>
      </c>
      <c r="CQ43" s="5"/>
      <c r="CR43" s="5"/>
      <c r="CS43" s="5">
        <v>1138</v>
      </c>
      <c r="CT43" s="5">
        <v>3.89</v>
      </c>
      <c r="CU43" s="20">
        <v>216</v>
      </c>
      <c r="CV43" s="5">
        <v>2.59</v>
      </c>
      <c r="CW43" s="5">
        <v>0.06</v>
      </c>
      <c r="CX43" s="5">
        <v>0.92</v>
      </c>
      <c r="CY43" s="5">
        <v>0.46</v>
      </c>
      <c r="CZ43" s="5">
        <v>0.01</v>
      </c>
      <c r="DA43" s="5">
        <v>0.15</v>
      </c>
      <c r="DB43" s="5">
        <v>0.39</v>
      </c>
      <c r="DC43" s="5">
        <v>0.17</v>
      </c>
      <c r="DD43" s="5">
        <v>0.04</v>
      </c>
      <c r="DE43" s="5">
        <v>0.01</v>
      </c>
      <c r="DF43" s="5">
        <v>86</v>
      </c>
      <c r="DG43" s="5"/>
      <c r="DH43" s="5"/>
      <c r="DI43" s="5">
        <v>57</v>
      </c>
      <c r="DJ43" s="5">
        <v>0.19</v>
      </c>
      <c r="DK43" s="20">
        <v>11</v>
      </c>
      <c r="DL43" s="5"/>
      <c r="DM43" s="5"/>
      <c r="DN43" s="5"/>
      <c r="DO43" s="5"/>
      <c r="DP43" s="5"/>
      <c r="DQ43" s="20">
        <v>73</v>
      </c>
      <c r="DR43" s="5"/>
      <c r="DS43" s="5"/>
      <c r="DT43" s="5"/>
      <c r="DU43" s="5"/>
      <c r="DV43" s="5"/>
      <c r="DW43" s="20">
        <v>2</v>
      </c>
      <c r="DX43" s="5"/>
      <c r="DY43" s="5"/>
      <c r="DZ43" s="5"/>
      <c r="EA43" s="5"/>
      <c r="EB43" s="5">
        <v>51</v>
      </c>
      <c r="EC43" s="5"/>
      <c r="ED43" s="5"/>
      <c r="EE43" s="5"/>
      <c r="EF43" s="5"/>
      <c r="EG43" s="20"/>
      <c r="EH43" s="5"/>
      <c r="EI43" s="5"/>
      <c r="EJ43" s="5"/>
      <c r="EK43" s="5"/>
      <c r="EL43" s="5"/>
      <c r="EM43" s="21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4"/>
    </row>
    <row r="44" spans="1:181" ht="15" x14ac:dyDescent="0.2">
      <c r="A44" s="4" t="s">
        <v>379</v>
      </c>
      <c r="B44" s="4" t="s">
        <v>1</v>
      </c>
      <c r="C44" s="4" t="s">
        <v>2</v>
      </c>
      <c r="D44" s="4" t="s">
        <v>3</v>
      </c>
      <c r="E44" s="5" t="s">
        <v>3</v>
      </c>
      <c r="F44" s="5" t="s">
        <v>378</v>
      </c>
      <c r="G44" s="5">
        <v>0.2</v>
      </c>
      <c r="H44" s="5">
        <v>0.01</v>
      </c>
      <c r="I44" s="5"/>
      <c r="J44" s="20"/>
      <c r="K44" s="5">
        <v>54.96</v>
      </c>
      <c r="L44" s="5">
        <v>1.26</v>
      </c>
      <c r="M44" s="5">
        <v>16.04</v>
      </c>
      <c r="N44" s="5">
        <v>1.83</v>
      </c>
      <c r="O44" s="5">
        <v>6.54</v>
      </c>
      <c r="P44" s="5">
        <v>0.21</v>
      </c>
      <c r="Q44" s="5">
        <v>3.51</v>
      </c>
      <c r="R44" s="5">
        <v>6.63</v>
      </c>
      <c r="S44" s="5">
        <v>3.58</v>
      </c>
      <c r="T44" s="5">
        <v>1.07</v>
      </c>
      <c r="U44" s="5">
        <v>0.28999999999999998</v>
      </c>
      <c r="V44" s="5">
        <v>880</v>
      </c>
      <c r="W44" s="5">
        <v>1240</v>
      </c>
      <c r="X44" s="5">
        <v>3.58</v>
      </c>
      <c r="Y44" s="5">
        <v>59</v>
      </c>
      <c r="Z44" s="20">
        <v>99.7</v>
      </c>
      <c r="AA44" s="5">
        <v>1036</v>
      </c>
      <c r="AB44" s="5">
        <v>1035</v>
      </c>
      <c r="AC44" s="5">
        <v>835</v>
      </c>
      <c r="AD44" s="5">
        <v>1036</v>
      </c>
      <c r="AE44" s="5">
        <v>-0.2</v>
      </c>
      <c r="AF44" s="5">
        <v>0.35</v>
      </c>
      <c r="AG44" s="5">
        <v>144</v>
      </c>
      <c r="AH44" s="20">
        <v>5.8</v>
      </c>
      <c r="AI44" s="5">
        <v>3.04</v>
      </c>
      <c r="AJ44" s="5">
        <v>7.0000000000000007E-2</v>
      </c>
      <c r="AK44" s="5">
        <v>0.93</v>
      </c>
      <c r="AL44" s="5">
        <v>0.11</v>
      </c>
      <c r="AM44" s="5">
        <v>0.52</v>
      </c>
      <c r="AN44" s="5">
        <v>0.01</v>
      </c>
      <c r="AO44" s="5">
        <v>0.55000000000000004</v>
      </c>
      <c r="AP44" s="5">
        <v>0.32</v>
      </c>
      <c r="AQ44" s="5">
        <v>0.18</v>
      </c>
      <c r="AR44" s="5">
        <v>0.06</v>
      </c>
      <c r="AS44" s="5">
        <v>0.01</v>
      </c>
      <c r="AT44" s="5">
        <v>37</v>
      </c>
      <c r="AU44" s="5">
        <v>64</v>
      </c>
      <c r="AV44" s="5">
        <v>0.2</v>
      </c>
      <c r="AW44" s="5">
        <v>3</v>
      </c>
      <c r="AX44" s="5">
        <v>8</v>
      </c>
      <c r="AY44" s="5">
        <v>22</v>
      </c>
      <c r="AZ44" s="5">
        <v>199</v>
      </c>
      <c r="BA44" s="5">
        <v>14</v>
      </c>
      <c r="BB44" s="5">
        <v>1.75</v>
      </c>
      <c r="BC44" s="5">
        <v>0</v>
      </c>
      <c r="BD44" s="5">
        <v>12</v>
      </c>
      <c r="BE44" s="20">
        <v>0.5</v>
      </c>
      <c r="BF44" s="5">
        <v>0</v>
      </c>
      <c r="BG44" s="5">
        <v>0.2</v>
      </c>
      <c r="BH44" s="5">
        <v>1</v>
      </c>
      <c r="BI44" s="5">
        <v>1.08</v>
      </c>
      <c r="BJ44" s="5"/>
      <c r="BK44" s="5"/>
      <c r="BL44" s="5"/>
      <c r="BM44" s="5">
        <v>59</v>
      </c>
      <c r="BN44" s="5">
        <v>11</v>
      </c>
      <c r="BO44" s="5">
        <v>223</v>
      </c>
      <c r="BP44" s="5">
        <v>141</v>
      </c>
      <c r="BQ44" s="5"/>
      <c r="BR44" s="5"/>
      <c r="BS44" s="5">
        <v>144</v>
      </c>
      <c r="BT44" s="5">
        <v>12</v>
      </c>
      <c r="BU44" s="5">
        <v>183</v>
      </c>
      <c r="BV44" s="5">
        <v>35</v>
      </c>
      <c r="BW44" s="5"/>
      <c r="BX44" s="5"/>
      <c r="BY44" s="5">
        <v>5.8</v>
      </c>
      <c r="BZ44" s="5">
        <v>0.5</v>
      </c>
      <c r="CA44" s="5">
        <v>7.3</v>
      </c>
      <c r="CB44" s="20">
        <v>1.3</v>
      </c>
      <c r="CC44" s="5">
        <v>3.8</v>
      </c>
      <c r="CD44" s="5">
        <v>196</v>
      </c>
      <c r="CE44" s="20">
        <v>7.7</v>
      </c>
      <c r="CF44" s="5">
        <v>54.92</v>
      </c>
      <c r="CG44" s="5">
        <v>1.26</v>
      </c>
      <c r="CH44" s="5">
        <v>16</v>
      </c>
      <c r="CI44" s="5">
        <v>8.2200000000000006</v>
      </c>
      <c r="CJ44" s="5">
        <v>0.21</v>
      </c>
      <c r="CK44" s="5">
        <v>3.58</v>
      </c>
      <c r="CL44" s="5">
        <v>6.61</v>
      </c>
      <c r="CM44" s="5">
        <v>3.57</v>
      </c>
      <c r="CN44" s="5">
        <v>1.06</v>
      </c>
      <c r="CO44" s="5">
        <v>0.28999999999999998</v>
      </c>
      <c r="CP44" s="5">
        <v>878</v>
      </c>
      <c r="CQ44" s="5"/>
      <c r="CR44" s="5"/>
      <c r="CS44" s="5">
        <v>1237</v>
      </c>
      <c r="CT44" s="5">
        <v>3.57</v>
      </c>
      <c r="CU44" s="20">
        <v>59</v>
      </c>
      <c r="CV44" s="5">
        <v>2.75</v>
      </c>
      <c r="CW44" s="5">
        <v>0.06</v>
      </c>
      <c r="CX44" s="5">
        <v>0.8</v>
      </c>
      <c r="CY44" s="5">
        <v>0.41</v>
      </c>
      <c r="CZ44" s="5">
        <v>0.01</v>
      </c>
      <c r="DA44" s="5">
        <v>0.18</v>
      </c>
      <c r="DB44" s="5">
        <v>0.33</v>
      </c>
      <c r="DC44" s="5">
        <v>0.18</v>
      </c>
      <c r="DD44" s="5">
        <v>0.05</v>
      </c>
      <c r="DE44" s="5">
        <v>0.01</v>
      </c>
      <c r="DF44" s="5">
        <v>44</v>
      </c>
      <c r="DG44" s="5"/>
      <c r="DH44" s="5"/>
      <c r="DI44" s="5">
        <v>62</v>
      </c>
      <c r="DJ44" s="5">
        <v>0.18</v>
      </c>
      <c r="DK44" s="20">
        <v>3</v>
      </c>
      <c r="DL44" s="5"/>
      <c r="DM44" s="5"/>
      <c r="DN44" s="5"/>
      <c r="DO44" s="5"/>
      <c r="DP44" s="5"/>
      <c r="DQ44" s="20">
        <v>73.099999999999994</v>
      </c>
      <c r="DR44" s="5"/>
      <c r="DS44" s="5"/>
      <c r="DT44" s="5"/>
      <c r="DU44" s="5"/>
      <c r="DV44" s="5"/>
      <c r="DW44" s="20">
        <v>2</v>
      </c>
      <c r="DX44" s="5"/>
      <c r="DY44" s="5"/>
      <c r="DZ44" s="5"/>
      <c r="EA44" s="5"/>
      <c r="EB44" s="5">
        <v>66</v>
      </c>
      <c r="EC44" s="5"/>
      <c r="ED44" s="5"/>
      <c r="EE44" s="5"/>
      <c r="EF44" s="5"/>
      <c r="EG44" s="20"/>
      <c r="EH44" s="5"/>
      <c r="EI44" s="5"/>
      <c r="EJ44" s="5"/>
      <c r="EK44" s="5"/>
      <c r="EL44" s="5"/>
      <c r="EM44" s="21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4"/>
    </row>
    <row r="45" spans="1:181" ht="15" x14ac:dyDescent="0.2">
      <c r="A45" s="4" t="s">
        <v>380</v>
      </c>
      <c r="B45" s="4" t="s">
        <v>1</v>
      </c>
      <c r="C45" s="4" t="s">
        <v>2</v>
      </c>
      <c r="D45" s="4" t="s">
        <v>3</v>
      </c>
      <c r="E45" s="5" t="s">
        <v>3</v>
      </c>
      <c r="F45" s="5" t="s">
        <v>378</v>
      </c>
      <c r="G45" s="5">
        <v>0.2</v>
      </c>
      <c r="H45" s="5">
        <v>0.01</v>
      </c>
      <c r="I45" s="5"/>
      <c r="J45" s="20"/>
      <c r="K45" s="5">
        <v>53.47</v>
      </c>
      <c r="L45" s="5">
        <v>1.1399999999999999</v>
      </c>
      <c r="M45" s="5">
        <v>19.53</v>
      </c>
      <c r="N45" s="5">
        <v>1.64</v>
      </c>
      <c r="O45" s="5">
        <v>5.52</v>
      </c>
      <c r="P45" s="5">
        <v>0.18</v>
      </c>
      <c r="Q45" s="5">
        <v>2.89</v>
      </c>
      <c r="R45" s="5">
        <v>7.32</v>
      </c>
      <c r="S45" s="5">
        <v>3.97</v>
      </c>
      <c r="T45" s="5">
        <v>1.02</v>
      </c>
      <c r="U45" s="5">
        <v>0.24</v>
      </c>
      <c r="V45" s="5">
        <v>1484</v>
      </c>
      <c r="W45" s="5">
        <v>1164</v>
      </c>
      <c r="X45" s="5">
        <v>3.5</v>
      </c>
      <c r="Y45" s="5">
        <v>234</v>
      </c>
      <c r="Z45" s="20">
        <v>100.7</v>
      </c>
      <c r="AA45" s="5">
        <v>1021</v>
      </c>
      <c r="AB45" s="5">
        <v>1007</v>
      </c>
      <c r="AC45" s="5">
        <v>790</v>
      </c>
      <c r="AD45" s="5">
        <v>1021</v>
      </c>
      <c r="AE45" s="5">
        <v>-1.7</v>
      </c>
      <c r="AF45" s="5">
        <v>0.34</v>
      </c>
      <c r="AG45" s="5">
        <v>176</v>
      </c>
      <c r="AH45" s="20">
        <v>7</v>
      </c>
      <c r="AI45" s="5">
        <v>2.33</v>
      </c>
      <c r="AJ45" s="5">
        <v>0.06</v>
      </c>
      <c r="AK45" s="5">
        <v>1.08</v>
      </c>
      <c r="AL45" s="5">
        <v>0.09</v>
      </c>
      <c r="AM45" s="5">
        <v>0.44</v>
      </c>
      <c r="AN45" s="5">
        <v>0.01</v>
      </c>
      <c r="AO45" s="5">
        <v>0.37</v>
      </c>
      <c r="AP45" s="5">
        <v>0.34</v>
      </c>
      <c r="AQ45" s="5">
        <v>0.22</v>
      </c>
      <c r="AR45" s="5">
        <v>0.04</v>
      </c>
      <c r="AS45" s="5">
        <v>0.01</v>
      </c>
      <c r="AT45" s="5">
        <v>76</v>
      </c>
      <c r="AU45" s="5">
        <v>53</v>
      </c>
      <c r="AV45" s="5">
        <v>0.2</v>
      </c>
      <c r="AW45" s="5">
        <v>13</v>
      </c>
      <c r="AX45" s="5">
        <v>6</v>
      </c>
      <c r="AY45" s="5">
        <v>20</v>
      </c>
      <c r="AZ45" s="5">
        <v>169</v>
      </c>
      <c r="BA45" s="5">
        <v>11</v>
      </c>
      <c r="BB45" s="5">
        <v>1.1499999999999999</v>
      </c>
      <c r="BC45" s="5">
        <v>0</v>
      </c>
      <c r="BD45" s="5">
        <v>14</v>
      </c>
      <c r="BE45" s="20">
        <v>0.5</v>
      </c>
      <c r="BF45" s="5">
        <v>0</v>
      </c>
      <c r="BG45" s="5">
        <v>0</v>
      </c>
      <c r="BH45" s="5">
        <v>0.8</v>
      </c>
      <c r="BI45" s="5">
        <v>0.66</v>
      </c>
      <c r="BJ45" s="5"/>
      <c r="BK45" s="5"/>
      <c r="BL45" s="5"/>
      <c r="BM45" s="5">
        <v>234</v>
      </c>
      <c r="BN45" s="5">
        <v>14</v>
      </c>
      <c r="BO45" s="5">
        <v>697</v>
      </c>
      <c r="BP45" s="5">
        <v>311</v>
      </c>
      <c r="BQ45" s="5"/>
      <c r="BR45" s="5"/>
      <c r="BS45" s="5">
        <v>176</v>
      </c>
      <c r="BT45" s="5">
        <v>14</v>
      </c>
      <c r="BU45" s="5">
        <v>282</v>
      </c>
      <c r="BV45" s="5">
        <v>65</v>
      </c>
      <c r="BW45" s="5"/>
      <c r="BX45" s="5"/>
      <c r="BY45" s="5">
        <v>7</v>
      </c>
      <c r="BZ45" s="5">
        <v>0.5</v>
      </c>
      <c r="CA45" s="5">
        <v>10.8</v>
      </c>
      <c r="CB45" s="20">
        <v>2.2999999999999998</v>
      </c>
      <c r="CC45" s="5">
        <v>3.9</v>
      </c>
      <c r="CD45" s="5">
        <v>311</v>
      </c>
      <c r="CE45" s="20">
        <v>11.8</v>
      </c>
      <c r="CF45" s="5">
        <v>53.21</v>
      </c>
      <c r="CG45" s="5">
        <v>1.1200000000000001</v>
      </c>
      <c r="CH45" s="5">
        <v>19.2</v>
      </c>
      <c r="CI45" s="5">
        <v>7.26</v>
      </c>
      <c r="CJ45" s="5">
        <v>0.18</v>
      </c>
      <c r="CK45" s="5">
        <v>3.5</v>
      </c>
      <c r="CL45" s="5">
        <v>7.19</v>
      </c>
      <c r="CM45" s="5">
        <v>3.9</v>
      </c>
      <c r="CN45" s="5">
        <v>1.01</v>
      </c>
      <c r="CO45" s="5">
        <v>0.23</v>
      </c>
      <c r="CP45" s="5">
        <v>1459</v>
      </c>
      <c r="CQ45" s="5"/>
      <c r="CR45" s="5"/>
      <c r="CS45" s="5">
        <v>1145</v>
      </c>
      <c r="CT45" s="5">
        <v>3.44</v>
      </c>
      <c r="CU45" s="20">
        <v>230</v>
      </c>
      <c r="CV45" s="5">
        <v>2.66</v>
      </c>
      <c r="CW45" s="5">
        <v>0.06</v>
      </c>
      <c r="CX45" s="5">
        <v>0.96</v>
      </c>
      <c r="CY45" s="5">
        <v>0.36</v>
      </c>
      <c r="CZ45" s="5">
        <v>0.01</v>
      </c>
      <c r="DA45" s="5">
        <v>0.18</v>
      </c>
      <c r="DB45" s="5">
        <v>0.36</v>
      </c>
      <c r="DC45" s="5">
        <v>0.2</v>
      </c>
      <c r="DD45" s="5">
        <v>0.05</v>
      </c>
      <c r="DE45" s="5">
        <v>0.01</v>
      </c>
      <c r="DF45" s="5">
        <v>73</v>
      </c>
      <c r="DG45" s="5"/>
      <c r="DH45" s="5"/>
      <c r="DI45" s="5">
        <v>57</v>
      </c>
      <c r="DJ45" s="5">
        <v>0.17</v>
      </c>
      <c r="DK45" s="20">
        <v>12</v>
      </c>
      <c r="DL45" s="5"/>
      <c r="DM45" s="5"/>
      <c r="DN45" s="5"/>
      <c r="DO45" s="5"/>
      <c r="DP45" s="5"/>
      <c r="DQ45" s="20">
        <v>73.099999999999994</v>
      </c>
      <c r="DR45" s="5"/>
      <c r="DS45" s="5"/>
      <c r="DT45" s="5"/>
      <c r="DU45" s="5"/>
      <c r="DV45" s="5"/>
      <c r="DW45" s="20">
        <v>2</v>
      </c>
      <c r="DX45" s="5"/>
      <c r="DY45" s="5"/>
      <c r="DZ45" s="5"/>
      <c r="EA45" s="5"/>
      <c r="EB45" s="5">
        <v>40</v>
      </c>
      <c r="EC45" s="5"/>
      <c r="ED45" s="5"/>
      <c r="EE45" s="5"/>
      <c r="EF45" s="5"/>
      <c r="EG45" s="20"/>
      <c r="EH45" s="5"/>
      <c r="EI45" s="5"/>
      <c r="EJ45" s="5"/>
      <c r="EK45" s="5"/>
      <c r="EL45" s="5"/>
      <c r="EM45" s="21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4"/>
    </row>
    <row r="46" spans="1:181" ht="15" x14ac:dyDescent="0.2">
      <c r="A46" s="4" t="s">
        <v>381</v>
      </c>
      <c r="B46" s="4" t="s">
        <v>1</v>
      </c>
      <c r="C46" s="4" t="s">
        <v>2</v>
      </c>
      <c r="D46" s="4" t="s">
        <v>3</v>
      </c>
      <c r="E46" s="5" t="s">
        <v>3</v>
      </c>
      <c r="F46" s="5" t="s">
        <v>378</v>
      </c>
      <c r="G46" s="5">
        <v>0.2</v>
      </c>
      <c r="H46" s="5">
        <v>0.01</v>
      </c>
      <c r="I46" s="5"/>
      <c r="J46" s="20"/>
      <c r="K46" s="5">
        <v>54.04</v>
      </c>
      <c r="L46" s="5">
        <v>1.21</v>
      </c>
      <c r="M46" s="5">
        <v>15.66</v>
      </c>
      <c r="N46" s="5">
        <v>1.73</v>
      </c>
      <c r="O46" s="5">
        <v>7.73</v>
      </c>
      <c r="P46" s="5">
        <v>0.1</v>
      </c>
      <c r="Q46" s="5">
        <v>4.21</v>
      </c>
      <c r="R46" s="5">
        <v>6.62</v>
      </c>
      <c r="S46" s="5">
        <v>4.07</v>
      </c>
      <c r="T46" s="5">
        <v>0.92</v>
      </c>
      <c r="U46" s="5">
        <v>0.25</v>
      </c>
      <c r="V46" s="5">
        <v>883</v>
      </c>
      <c r="W46" s="5">
        <v>1214</v>
      </c>
      <c r="X46" s="5">
        <v>3.62</v>
      </c>
      <c r="Y46" s="5">
        <v>58</v>
      </c>
      <c r="Z46" s="20">
        <v>100.4</v>
      </c>
      <c r="AA46" s="5">
        <v>993</v>
      </c>
      <c r="AB46" s="5">
        <v>1067</v>
      </c>
      <c r="AC46" s="5">
        <v>773</v>
      </c>
      <c r="AD46" s="5">
        <v>993</v>
      </c>
      <c r="AE46" s="5">
        <v>5.8</v>
      </c>
      <c r="AF46" s="5">
        <v>0.36</v>
      </c>
      <c r="AG46" s="5">
        <v>169</v>
      </c>
      <c r="AH46" s="20">
        <v>6.7</v>
      </c>
      <c r="AI46" s="5">
        <v>2.5</v>
      </c>
      <c r="AJ46" s="5">
        <v>0.06</v>
      </c>
      <c r="AK46" s="5">
        <v>0.95</v>
      </c>
      <c r="AL46" s="5">
        <v>0.11</v>
      </c>
      <c r="AM46" s="5">
        <v>0.63</v>
      </c>
      <c r="AN46" s="5">
        <v>0</v>
      </c>
      <c r="AO46" s="5">
        <v>0.63</v>
      </c>
      <c r="AP46" s="5">
        <v>0.41</v>
      </c>
      <c r="AQ46" s="5">
        <v>0.24</v>
      </c>
      <c r="AR46" s="5">
        <v>0.04</v>
      </c>
      <c r="AS46" s="5">
        <v>0.01</v>
      </c>
      <c r="AT46" s="5">
        <v>50</v>
      </c>
      <c r="AU46" s="5">
        <v>58</v>
      </c>
      <c r="AV46" s="5">
        <v>0.2</v>
      </c>
      <c r="AW46" s="5">
        <v>3</v>
      </c>
      <c r="AX46" s="5">
        <v>8</v>
      </c>
      <c r="AY46" s="5">
        <v>23</v>
      </c>
      <c r="AZ46" s="5">
        <v>175</v>
      </c>
      <c r="BA46" s="5">
        <v>12</v>
      </c>
      <c r="BB46" s="5">
        <v>2.2000000000000002</v>
      </c>
      <c r="BC46" s="5">
        <v>0.01</v>
      </c>
      <c r="BD46" s="5">
        <v>14</v>
      </c>
      <c r="BE46" s="20">
        <v>0.5</v>
      </c>
      <c r="BF46" s="5">
        <v>1.2</v>
      </c>
      <c r="BG46" s="5">
        <v>0.4</v>
      </c>
      <c r="BH46" s="5">
        <v>2</v>
      </c>
      <c r="BI46" s="5">
        <v>1.5</v>
      </c>
      <c r="BJ46" s="5"/>
      <c r="BK46" s="5"/>
      <c r="BL46" s="5"/>
      <c r="BM46" s="5">
        <v>232</v>
      </c>
      <c r="BN46" s="5">
        <v>56</v>
      </c>
      <c r="BO46" s="5">
        <v>357</v>
      </c>
      <c r="BP46" s="5">
        <v>143</v>
      </c>
      <c r="BQ46" s="5"/>
      <c r="BR46" s="5"/>
      <c r="BS46" s="5">
        <v>185</v>
      </c>
      <c r="BT46" s="5">
        <v>14</v>
      </c>
      <c r="BU46" s="5">
        <v>212</v>
      </c>
      <c r="BV46" s="5">
        <v>34</v>
      </c>
      <c r="BW46" s="5"/>
      <c r="BX46" s="5"/>
      <c r="BY46" s="5">
        <v>7.3</v>
      </c>
      <c r="BZ46" s="5">
        <v>0.5</v>
      </c>
      <c r="CA46" s="5">
        <v>8.3000000000000007</v>
      </c>
      <c r="CB46" s="20">
        <v>1.2</v>
      </c>
      <c r="CC46" s="5">
        <v>4.0999999999999996</v>
      </c>
      <c r="CD46" s="5">
        <v>246</v>
      </c>
      <c r="CE46" s="20">
        <v>9.5</v>
      </c>
      <c r="CF46" s="5">
        <v>54.99</v>
      </c>
      <c r="CG46" s="5">
        <v>1.28</v>
      </c>
      <c r="CH46" s="5">
        <v>16.559999999999999</v>
      </c>
      <c r="CI46" s="5">
        <v>8.23</v>
      </c>
      <c r="CJ46" s="5">
        <v>0.1</v>
      </c>
      <c r="CK46" s="5">
        <v>2.4300000000000002</v>
      </c>
      <c r="CL46" s="5">
        <v>7</v>
      </c>
      <c r="CM46" s="5">
        <v>4.3099999999999996</v>
      </c>
      <c r="CN46" s="5">
        <v>0.97</v>
      </c>
      <c r="CO46" s="5">
        <v>0.26</v>
      </c>
      <c r="CP46" s="5">
        <v>934</v>
      </c>
      <c r="CQ46" s="5"/>
      <c r="CR46" s="5"/>
      <c r="CS46" s="5">
        <v>1284</v>
      </c>
      <c r="CT46" s="5">
        <v>3.82</v>
      </c>
      <c r="CU46" s="20">
        <v>61</v>
      </c>
      <c r="CV46" s="5">
        <v>2.75</v>
      </c>
      <c r="CW46" s="5">
        <v>0.06</v>
      </c>
      <c r="CX46" s="5">
        <v>0.83</v>
      </c>
      <c r="CY46" s="5">
        <v>0.41</v>
      </c>
      <c r="CZ46" s="5">
        <v>0.01</v>
      </c>
      <c r="DA46" s="5">
        <v>0.12</v>
      </c>
      <c r="DB46" s="5">
        <v>0.35</v>
      </c>
      <c r="DC46" s="5">
        <v>0.22</v>
      </c>
      <c r="DD46" s="5">
        <v>0.05</v>
      </c>
      <c r="DE46" s="5">
        <v>0.01</v>
      </c>
      <c r="DF46" s="5">
        <v>47</v>
      </c>
      <c r="DG46" s="5"/>
      <c r="DH46" s="5"/>
      <c r="DI46" s="5">
        <v>64</v>
      </c>
      <c r="DJ46" s="5">
        <v>0.19</v>
      </c>
      <c r="DK46" s="20">
        <v>3</v>
      </c>
      <c r="DL46" s="5"/>
      <c r="DM46" s="5"/>
      <c r="DN46" s="5"/>
      <c r="DO46" s="5"/>
      <c r="DP46" s="5"/>
      <c r="DQ46" s="20">
        <v>73.099999999999994</v>
      </c>
      <c r="DR46" s="5"/>
      <c r="DS46" s="5"/>
      <c r="DT46" s="5"/>
      <c r="DU46" s="5"/>
      <c r="DV46" s="5"/>
      <c r="DW46" s="20">
        <v>2</v>
      </c>
      <c r="DX46" s="5"/>
      <c r="DY46" s="5"/>
      <c r="DZ46" s="5"/>
      <c r="EA46" s="5"/>
      <c r="EB46" s="5">
        <v>45</v>
      </c>
      <c r="EC46" s="5"/>
      <c r="ED46" s="5"/>
      <c r="EE46" s="5"/>
      <c r="EF46" s="5"/>
      <c r="EG46" s="20"/>
      <c r="EH46" s="5"/>
      <c r="EI46" s="5"/>
      <c r="EJ46" s="5"/>
      <c r="EK46" s="5"/>
      <c r="EL46" s="5"/>
      <c r="EM46" s="21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4"/>
    </row>
    <row r="47" spans="1:181" ht="15" x14ac:dyDescent="0.2">
      <c r="A47" s="4" t="s">
        <v>382</v>
      </c>
      <c r="B47" s="4" t="s">
        <v>1</v>
      </c>
      <c r="C47" s="4" t="s">
        <v>2</v>
      </c>
      <c r="D47" s="4" t="s">
        <v>3</v>
      </c>
      <c r="E47" s="5" t="s">
        <v>3</v>
      </c>
      <c r="F47" s="5" t="s">
        <v>383</v>
      </c>
      <c r="G47" s="5">
        <v>0.2</v>
      </c>
      <c r="H47" s="5">
        <v>0.01</v>
      </c>
      <c r="I47" s="5"/>
      <c r="J47" s="20"/>
      <c r="K47" s="5">
        <v>49.92</v>
      </c>
      <c r="L47" s="5">
        <v>1.2</v>
      </c>
      <c r="M47" s="5">
        <v>17.57</v>
      </c>
      <c r="N47" s="5">
        <v>2.0299999999999998</v>
      </c>
      <c r="O47" s="5">
        <v>7.71</v>
      </c>
      <c r="P47" s="5">
        <v>0.2</v>
      </c>
      <c r="Q47" s="5">
        <v>3.85</v>
      </c>
      <c r="R47" s="5">
        <v>7.91</v>
      </c>
      <c r="S47" s="5">
        <v>3.17</v>
      </c>
      <c r="T47" s="5">
        <v>0.78</v>
      </c>
      <c r="U47" s="5">
        <v>0.25</v>
      </c>
      <c r="V47" s="5">
        <v>1685</v>
      </c>
      <c r="W47" s="5">
        <v>1189</v>
      </c>
      <c r="X47" s="5">
        <v>4.1900000000000004</v>
      </c>
      <c r="Y47" s="5">
        <v>327</v>
      </c>
      <c r="Z47" s="20">
        <v>99.1</v>
      </c>
      <c r="AA47" s="5">
        <v>1013</v>
      </c>
      <c r="AB47" s="5">
        <v>1042</v>
      </c>
      <c r="AC47" s="5">
        <v>781</v>
      </c>
      <c r="AD47" s="5">
        <v>1013</v>
      </c>
      <c r="AE47" s="5">
        <v>1.6</v>
      </c>
      <c r="AF47" s="5">
        <v>0.32</v>
      </c>
      <c r="AG47" s="5">
        <v>263</v>
      </c>
      <c r="AH47" s="20">
        <v>10.1</v>
      </c>
      <c r="AI47" s="5">
        <v>1.78</v>
      </c>
      <c r="AJ47" s="5">
        <v>0.05</v>
      </c>
      <c r="AK47" s="5">
        <v>0.98</v>
      </c>
      <c r="AL47" s="5">
        <v>0.15</v>
      </c>
      <c r="AM47" s="5">
        <v>0.55000000000000004</v>
      </c>
      <c r="AN47" s="5">
        <v>0.01</v>
      </c>
      <c r="AO47" s="5">
        <v>0.57999999999999996</v>
      </c>
      <c r="AP47" s="5">
        <v>0.35</v>
      </c>
      <c r="AQ47" s="5">
        <v>0.16</v>
      </c>
      <c r="AR47" s="5">
        <v>0.04</v>
      </c>
      <c r="AS47" s="5">
        <v>0.01</v>
      </c>
      <c r="AT47" s="5">
        <v>90</v>
      </c>
      <c r="AU47" s="5">
        <v>53</v>
      </c>
      <c r="AV47" s="5">
        <v>0.2</v>
      </c>
      <c r="AW47" s="5">
        <v>17</v>
      </c>
      <c r="AX47" s="5">
        <v>7</v>
      </c>
      <c r="AY47" s="5">
        <v>23</v>
      </c>
      <c r="AZ47" s="5">
        <v>185</v>
      </c>
      <c r="BA47" s="5">
        <v>16</v>
      </c>
      <c r="BB47" s="5">
        <v>1.93</v>
      </c>
      <c r="BC47" s="5">
        <v>0</v>
      </c>
      <c r="BD47" s="5">
        <v>22</v>
      </c>
      <c r="BE47" s="20">
        <v>0.8</v>
      </c>
      <c r="BF47" s="5">
        <v>0.3</v>
      </c>
      <c r="BG47" s="5">
        <v>0.3</v>
      </c>
      <c r="BH47" s="5">
        <v>1.5</v>
      </c>
      <c r="BI47" s="5">
        <v>1.62</v>
      </c>
      <c r="BJ47" s="5"/>
      <c r="BK47" s="5"/>
      <c r="BL47" s="5"/>
      <c r="BM47" s="5">
        <v>543</v>
      </c>
      <c r="BN47" s="5">
        <v>187</v>
      </c>
      <c r="BO47" s="5">
        <v>1259</v>
      </c>
      <c r="BP47" s="5">
        <v>550</v>
      </c>
      <c r="BQ47" s="5"/>
      <c r="BR47" s="5"/>
      <c r="BS47" s="5">
        <v>297</v>
      </c>
      <c r="BT47" s="5">
        <v>38</v>
      </c>
      <c r="BU47" s="5">
        <v>428</v>
      </c>
      <c r="BV47" s="5">
        <v>90</v>
      </c>
      <c r="BW47" s="5"/>
      <c r="BX47" s="5"/>
      <c r="BY47" s="5">
        <v>11.3</v>
      </c>
      <c r="BZ47" s="5">
        <v>1.4</v>
      </c>
      <c r="CA47" s="5">
        <v>15.8</v>
      </c>
      <c r="CB47" s="20">
        <v>3.1</v>
      </c>
      <c r="CC47" s="5">
        <v>3.5</v>
      </c>
      <c r="CD47" s="5">
        <v>378</v>
      </c>
      <c r="CE47" s="20">
        <v>14.1</v>
      </c>
      <c r="CF47" s="5">
        <v>50.11</v>
      </c>
      <c r="CG47" s="5">
        <v>1.22</v>
      </c>
      <c r="CH47" s="5">
        <v>17.84</v>
      </c>
      <c r="CI47" s="5">
        <v>9.3000000000000007</v>
      </c>
      <c r="CJ47" s="5">
        <v>0.2</v>
      </c>
      <c r="CK47" s="5">
        <v>3.34</v>
      </c>
      <c r="CL47" s="5">
        <v>8.0299999999999994</v>
      </c>
      <c r="CM47" s="5">
        <v>3.22</v>
      </c>
      <c r="CN47" s="5">
        <v>0.79</v>
      </c>
      <c r="CO47" s="5">
        <v>0.25</v>
      </c>
      <c r="CP47" s="5">
        <v>1712</v>
      </c>
      <c r="CQ47" s="5"/>
      <c r="CR47" s="5"/>
      <c r="CS47" s="5">
        <v>1207</v>
      </c>
      <c r="CT47" s="5">
        <v>4.25</v>
      </c>
      <c r="CU47" s="20">
        <v>332</v>
      </c>
      <c r="CV47" s="5">
        <v>2.5099999999999998</v>
      </c>
      <c r="CW47" s="5">
        <v>0.06</v>
      </c>
      <c r="CX47" s="5">
        <v>0.89</v>
      </c>
      <c r="CY47" s="5">
        <v>0.46</v>
      </c>
      <c r="CZ47" s="5">
        <v>0.01</v>
      </c>
      <c r="DA47" s="5">
        <v>0.17</v>
      </c>
      <c r="DB47" s="5">
        <v>0.4</v>
      </c>
      <c r="DC47" s="5">
        <v>0.16</v>
      </c>
      <c r="DD47" s="5">
        <v>0.04</v>
      </c>
      <c r="DE47" s="5">
        <v>0.01</v>
      </c>
      <c r="DF47" s="5">
        <v>86</v>
      </c>
      <c r="DG47" s="5"/>
      <c r="DH47" s="5"/>
      <c r="DI47" s="5">
        <v>60</v>
      </c>
      <c r="DJ47" s="5">
        <v>0.21</v>
      </c>
      <c r="DK47" s="20">
        <v>17</v>
      </c>
      <c r="DL47" s="5"/>
      <c r="DM47" s="5"/>
      <c r="DN47" s="5"/>
      <c r="DO47" s="5"/>
      <c r="DP47" s="5"/>
      <c r="DQ47" s="20">
        <v>73.400000000000006</v>
      </c>
      <c r="DR47" s="5"/>
      <c r="DS47" s="5"/>
      <c r="DT47" s="5"/>
      <c r="DU47" s="5"/>
      <c r="DV47" s="5"/>
      <c r="DW47" s="20">
        <v>2</v>
      </c>
      <c r="DX47" s="5"/>
      <c r="DY47" s="5"/>
      <c r="DZ47" s="5"/>
      <c r="EA47" s="5"/>
      <c r="EB47" s="5">
        <v>47</v>
      </c>
      <c r="EC47" s="5"/>
      <c r="ED47" s="5"/>
      <c r="EE47" s="5"/>
      <c r="EF47" s="5"/>
      <c r="EG47" s="20"/>
      <c r="EH47" s="5"/>
      <c r="EI47" s="5"/>
      <c r="EJ47" s="5"/>
      <c r="EK47" s="5"/>
      <c r="EL47" s="5"/>
      <c r="EM47" s="21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4"/>
    </row>
    <row r="48" spans="1:181" ht="15" x14ac:dyDescent="0.2">
      <c r="A48" s="4" t="s">
        <v>384</v>
      </c>
      <c r="B48" s="4" t="s">
        <v>1</v>
      </c>
      <c r="C48" s="4" t="s">
        <v>2</v>
      </c>
      <c r="D48" s="4" t="s">
        <v>3</v>
      </c>
      <c r="E48" s="5" t="s">
        <v>3</v>
      </c>
      <c r="F48" s="5" t="s">
        <v>383</v>
      </c>
      <c r="G48" s="5">
        <v>0.2</v>
      </c>
      <c r="H48" s="5">
        <v>0.01</v>
      </c>
      <c r="I48" s="5"/>
      <c r="J48" s="20"/>
      <c r="K48" s="5">
        <v>57.33</v>
      </c>
      <c r="L48" s="5">
        <v>1.03</v>
      </c>
      <c r="M48" s="5">
        <v>16</v>
      </c>
      <c r="N48" s="5">
        <v>1.68</v>
      </c>
      <c r="O48" s="5">
        <v>6.01</v>
      </c>
      <c r="P48" s="5">
        <v>0.16</v>
      </c>
      <c r="Q48" s="5">
        <v>3.22</v>
      </c>
      <c r="R48" s="5">
        <v>5.76</v>
      </c>
      <c r="S48" s="5">
        <v>4.25</v>
      </c>
      <c r="T48" s="5">
        <v>1.23</v>
      </c>
      <c r="U48" s="5">
        <v>0.33</v>
      </c>
      <c r="V48" s="5">
        <v>582</v>
      </c>
      <c r="W48" s="5">
        <v>1439</v>
      </c>
      <c r="X48" s="5">
        <v>3.44</v>
      </c>
      <c r="Y48" s="5">
        <v>74</v>
      </c>
      <c r="Z48" s="20">
        <v>100.6</v>
      </c>
      <c r="AA48" s="5">
        <v>1031</v>
      </c>
      <c r="AB48" s="5">
        <v>1032</v>
      </c>
      <c r="AC48" s="5">
        <v>832</v>
      </c>
      <c r="AD48" s="5">
        <v>1031</v>
      </c>
      <c r="AE48" s="5">
        <v>-0.1</v>
      </c>
      <c r="AF48" s="5">
        <v>0.35</v>
      </c>
      <c r="AG48" s="5">
        <v>139</v>
      </c>
      <c r="AH48" s="20">
        <v>5.6</v>
      </c>
      <c r="AI48" s="5">
        <v>2.99</v>
      </c>
      <c r="AJ48" s="5">
        <v>0.06</v>
      </c>
      <c r="AK48" s="5">
        <v>0.9</v>
      </c>
      <c r="AL48" s="5">
        <v>0.12</v>
      </c>
      <c r="AM48" s="5">
        <v>0.49</v>
      </c>
      <c r="AN48" s="5">
        <v>0.01</v>
      </c>
      <c r="AO48" s="5">
        <v>0.46</v>
      </c>
      <c r="AP48" s="5">
        <v>0.34</v>
      </c>
      <c r="AQ48" s="5">
        <v>0.22</v>
      </c>
      <c r="AR48" s="5">
        <v>7.0000000000000007E-2</v>
      </c>
      <c r="AS48" s="5">
        <v>0.01</v>
      </c>
      <c r="AT48" s="5">
        <v>32</v>
      </c>
      <c r="AU48" s="5">
        <v>74</v>
      </c>
      <c r="AV48" s="5">
        <v>0.2</v>
      </c>
      <c r="AW48" s="5">
        <v>4</v>
      </c>
      <c r="AX48" s="5">
        <v>8</v>
      </c>
      <c r="AY48" s="5">
        <v>22</v>
      </c>
      <c r="AZ48" s="5">
        <v>179</v>
      </c>
      <c r="BA48" s="5">
        <v>13</v>
      </c>
      <c r="BB48" s="5">
        <v>1.4</v>
      </c>
      <c r="BC48" s="5">
        <v>0</v>
      </c>
      <c r="BD48" s="5">
        <v>12</v>
      </c>
      <c r="BE48" s="20">
        <v>0.5</v>
      </c>
      <c r="BF48" s="5">
        <v>0</v>
      </c>
      <c r="BG48" s="5">
        <v>0.2</v>
      </c>
      <c r="BH48" s="5">
        <v>0.9</v>
      </c>
      <c r="BI48" s="5">
        <v>0.76</v>
      </c>
      <c r="BJ48" s="5"/>
      <c r="BK48" s="5"/>
      <c r="BL48" s="5"/>
      <c r="BM48" s="5">
        <v>74</v>
      </c>
      <c r="BN48" s="5">
        <v>6</v>
      </c>
      <c r="BO48" s="5">
        <v>257</v>
      </c>
      <c r="BP48" s="5">
        <v>152</v>
      </c>
      <c r="BQ48" s="5"/>
      <c r="BR48" s="5"/>
      <c r="BS48" s="5">
        <v>139</v>
      </c>
      <c r="BT48" s="5">
        <v>12</v>
      </c>
      <c r="BU48" s="5">
        <v>181</v>
      </c>
      <c r="BV48" s="5">
        <v>39</v>
      </c>
      <c r="BW48" s="5"/>
      <c r="BX48" s="5"/>
      <c r="BY48" s="5">
        <v>5.6</v>
      </c>
      <c r="BZ48" s="5">
        <v>0.5</v>
      </c>
      <c r="CA48" s="5">
        <v>7.2</v>
      </c>
      <c r="CB48" s="20">
        <v>1.4</v>
      </c>
      <c r="CC48" s="5">
        <v>3.9</v>
      </c>
      <c r="CD48" s="5">
        <v>211</v>
      </c>
      <c r="CE48" s="20">
        <v>8.3000000000000007</v>
      </c>
      <c r="CF48" s="5">
        <v>57.31</v>
      </c>
      <c r="CG48" s="5">
        <v>1.03</v>
      </c>
      <c r="CH48" s="5">
        <v>15.98</v>
      </c>
      <c r="CI48" s="5">
        <v>7.54</v>
      </c>
      <c r="CJ48" s="5">
        <v>0.16</v>
      </c>
      <c r="CK48" s="5">
        <v>3.25</v>
      </c>
      <c r="CL48" s="5">
        <v>5.76</v>
      </c>
      <c r="CM48" s="5">
        <v>4.24</v>
      </c>
      <c r="CN48" s="5">
        <v>1.23</v>
      </c>
      <c r="CO48" s="5">
        <v>0.33</v>
      </c>
      <c r="CP48" s="5">
        <v>582</v>
      </c>
      <c r="CQ48" s="5"/>
      <c r="CR48" s="5"/>
      <c r="CS48" s="5">
        <v>1437</v>
      </c>
      <c r="CT48" s="5">
        <v>3.43</v>
      </c>
      <c r="CU48" s="20">
        <v>74</v>
      </c>
      <c r="CV48" s="5">
        <v>2.87</v>
      </c>
      <c r="CW48" s="5">
        <v>0.05</v>
      </c>
      <c r="CX48" s="5">
        <v>0.8</v>
      </c>
      <c r="CY48" s="5">
        <v>0.38</v>
      </c>
      <c r="CZ48" s="5">
        <v>0.01</v>
      </c>
      <c r="DA48" s="5">
        <v>0.16</v>
      </c>
      <c r="DB48" s="5">
        <v>0.28999999999999998</v>
      </c>
      <c r="DC48" s="5">
        <v>0.21</v>
      </c>
      <c r="DD48" s="5">
        <v>0.06</v>
      </c>
      <c r="DE48" s="5">
        <v>0.02</v>
      </c>
      <c r="DF48" s="5">
        <v>29</v>
      </c>
      <c r="DG48" s="5"/>
      <c r="DH48" s="5"/>
      <c r="DI48" s="5">
        <v>72</v>
      </c>
      <c r="DJ48" s="5">
        <v>0.17</v>
      </c>
      <c r="DK48" s="20">
        <v>4</v>
      </c>
      <c r="DL48" s="5"/>
      <c r="DM48" s="5"/>
      <c r="DN48" s="5"/>
      <c r="DO48" s="5"/>
      <c r="DP48" s="5"/>
      <c r="DQ48" s="20">
        <v>73.400000000000006</v>
      </c>
      <c r="DR48" s="5"/>
      <c r="DS48" s="5"/>
      <c r="DT48" s="5"/>
      <c r="DU48" s="5"/>
      <c r="DV48" s="5"/>
      <c r="DW48" s="20">
        <v>2</v>
      </c>
      <c r="DX48" s="5"/>
      <c r="DY48" s="5"/>
      <c r="DZ48" s="5"/>
      <c r="EA48" s="5"/>
      <c r="EB48" s="5">
        <v>112</v>
      </c>
      <c r="EC48" s="5"/>
      <c r="ED48" s="5"/>
      <c r="EE48" s="5"/>
      <c r="EF48" s="5"/>
      <c r="EG48" s="20"/>
      <c r="EH48" s="5"/>
      <c r="EI48" s="5"/>
      <c r="EJ48" s="5"/>
      <c r="EK48" s="5"/>
      <c r="EL48" s="5"/>
      <c r="EM48" s="21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4"/>
    </row>
    <row r="49" spans="1:181" ht="15" x14ac:dyDescent="0.2">
      <c r="A49" s="4" t="s">
        <v>385</v>
      </c>
      <c r="B49" s="4" t="s">
        <v>1</v>
      </c>
      <c r="C49" s="4" t="s">
        <v>2</v>
      </c>
      <c r="D49" s="4" t="s">
        <v>3</v>
      </c>
      <c r="E49" s="5" t="s">
        <v>3</v>
      </c>
      <c r="F49" s="5" t="s">
        <v>383</v>
      </c>
      <c r="G49" s="5">
        <v>0.2</v>
      </c>
      <c r="H49" s="5">
        <v>0.01</v>
      </c>
      <c r="I49" s="5"/>
      <c r="J49" s="20"/>
      <c r="K49" s="5">
        <v>52.45</v>
      </c>
      <c r="L49" s="5">
        <v>1.19</v>
      </c>
      <c r="M49" s="5">
        <v>17.77</v>
      </c>
      <c r="N49" s="5">
        <v>1.74</v>
      </c>
      <c r="O49" s="5">
        <v>6.73</v>
      </c>
      <c r="P49" s="5">
        <v>0.13</v>
      </c>
      <c r="Q49" s="5">
        <v>3.14</v>
      </c>
      <c r="R49" s="5">
        <v>7.32</v>
      </c>
      <c r="S49" s="5">
        <v>3.71</v>
      </c>
      <c r="T49" s="5">
        <v>0.95</v>
      </c>
      <c r="U49" s="5">
        <v>0.27</v>
      </c>
      <c r="V49" s="5">
        <v>1490</v>
      </c>
      <c r="W49" s="5">
        <v>1289</v>
      </c>
      <c r="X49" s="5">
        <v>3.86</v>
      </c>
      <c r="Y49" s="5">
        <v>305</v>
      </c>
      <c r="Z49" s="20">
        <v>99.6</v>
      </c>
      <c r="AA49" s="5">
        <v>995</v>
      </c>
      <c r="AB49" s="5">
        <v>1020</v>
      </c>
      <c r="AC49" s="5">
        <v>763</v>
      </c>
      <c r="AD49" s="5">
        <v>995</v>
      </c>
      <c r="AE49" s="5">
        <v>1.7</v>
      </c>
      <c r="AF49" s="5">
        <v>0.31</v>
      </c>
      <c r="AG49" s="5">
        <v>235</v>
      </c>
      <c r="AH49" s="20">
        <v>9.1</v>
      </c>
      <c r="AI49" s="5">
        <v>2.4900000000000002</v>
      </c>
      <c r="AJ49" s="5">
        <v>0.06</v>
      </c>
      <c r="AK49" s="5">
        <v>1.07</v>
      </c>
      <c r="AL49" s="5">
        <v>0.15</v>
      </c>
      <c r="AM49" s="5">
        <v>0.45</v>
      </c>
      <c r="AN49" s="5">
        <v>0.01</v>
      </c>
      <c r="AO49" s="5">
        <v>0.49</v>
      </c>
      <c r="AP49" s="5">
        <v>0.32</v>
      </c>
      <c r="AQ49" s="5">
        <v>0.14000000000000001</v>
      </c>
      <c r="AR49" s="5">
        <v>0.04</v>
      </c>
      <c r="AS49" s="5">
        <v>0.01</v>
      </c>
      <c r="AT49" s="5">
        <v>67</v>
      </c>
      <c r="AU49" s="5">
        <v>69</v>
      </c>
      <c r="AV49" s="5">
        <v>0.2</v>
      </c>
      <c r="AW49" s="5">
        <v>20</v>
      </c>
      <c r="AX49" s="5">
        <v>6</v>
      </c>
      <c r="AY49" s="5">
        <v>21</v>
      </c>
      <c r="AZ49" s="5">
        <v>138</v>
      </c>
      <c r="BA49" s="5">
        <v>12</v>
      </c>
      <c r="BB49" s="5">
        <v>1.64</v>
      </c>
      <c r="BC49" s="5">
        <v>0</v>
      </c>
      <c r="BD49" s="5">
        <v>14</v>
      </c>
      <c r="BE49" s="20">
        <v>0.5</v>
      </c>
      <c r="BF49" s="5">
        <v>0.3</v>
      </c>
      <c r="BG49" s="5">
        <v>0.3</v>
      </c>
      <c r="BH49" s="5">
        <v>1.3</v>
      </c>
      <c r="BI49" s="5">
        <v>0.95</v>
      </c>
      <c r="BJ49" s="5"/>
      <c r="BK49" s="5"/>
      <c r="BL49" s="5"/>
      <c r="BM49" s="5">
        <v>490</v>
      </c>
      <c r="BN49" s="5">
        <v>210</v>
      </c>
      <c r="BO49" s="5">
        <v>1126</v>
      </c>
      <c r="BP49" s="5">
        <v>413</v>
      </c>
      <c r="BQ49" s="5"/>
      <c r="BR49" s="5"/>
      <c r="BS49" s="5">
        <v>265</v>
      </c>
      <c r="BT49" s="5">
        <v>37</v>
      </c>
      <c r="BU49" s="5">
        <v>386</v>
      </c>
      <c r="BV49" s="5">
        <v>76</v>
      </c>
      <c r="BW49" s="5"/>
      <c r="BX49" s="5"/>
      <c r="BY49" s="5">
        <v>10.199999999999999</v>
      </c>
      <c r="BZ49" s="5">
        <v>1.3</v>
      </c>
      <c r="CA49" s="5">
        <v>14.4</v>
      </c>
      <c r="CB49" s="20">
        <v>2.6</v>
      </c>
      <c r="CC49" s="5">
        <v>4</v>
      </c>
      <c r="CD49" s="5">
        <v>397</v>
      </c>
      <c r="CE49" s="20">
        <v>14.8</v>
      </c>
      <c r="CF49" s="5">
        <v>52.71</v>
      </c>
      <c r="CG49" s="5">
        <v>1.21</v>
      </c>
      <c r="CH49" s="5">
        <v>18.07</v>
      </c>
      <c r="CI49" s="5">
        <v>7.98</v>
      </c>
      <c r="CJ49" s="5">
        <v>0.14000000000000001</v>
      </c>
      <c r="CK49" s="5">
        <v>2.61</v>
      </c>
      <c r="CL49" s="5">
        <v>7.44</v>
      </c>
      <c r="CM49" s="5">
        <v>3.77</v>
      </c>
      <c r="CN49" s="5">
        <v>0.97</v>
      </c>
      <c r="CO49" s="5">
        <v>0.27</v>
      </c>
      <c r="CP49" s="5">
        <v>1515</v>
      </c>
      <c r="CQ49" s="5"/>
      <c r="CR49" s="5"/>
      <c r="CS49" s="5">
        <v>1311</v>
      </c>
      <c r="CT49" s="5">
        <v>3.93</v>
      </c>
      <c r="CU49" s="20">
        <v>311</v>
      </c>
      <c r="CV49" s="5">
        <v>2.64</v>
      </c>
      <c r="CW49" s="5">
        <v>0.06</v>
      </c>
      <c r="CX49" s="5">
        <v>0.9</v>
      </c>
      <c r="CY49" s="5">
        <v>0.4</v>
      </c>
      <c r="CZ49" s="5">
        <v>0.01</v>
      </c>
      <c r="DA49" s="5">
        <v>0.13</v>
      </c>
      <c r="DB49" s="5">
        <v>0.37</v>
      </c>
      <c r="DC49" s="5">
        <v>0.19</v>
      </c>
      <c r="DD49" s="5">
        <v>0.05</v>
      </c>
      <c r="DE49" s="5">
        <v>0.01</v>
      </c>
      <c r="DF49" s="5">
        <v>76</v>
      </c>
      <c r="DG49" s="5"/>
      <c r="DH49" s="5"/>
      <c r="DI49" s="5">
        <v>66</v>
      </c>
      <c r="DJ49" s="5">
        <v>0.2</v>
      </c>
      <c r="DK49" s="20">
        <v>16</v>
      </c>
      <c r="DL49" s="5"/>
      <c r="DM49" s="5"/>
      <c r="DN49" s="5"/>
      <c r="DO49" s="5"/>
      <c r="DP49" s="5"/>
      <c r="DQ49" s="20">
        <v>72.7</v>
      </c>
      <c r="DR49" s="5"/>
      <c r="DS49" s="5"/>
      <c r="DT49" s="5"/>
      <c r="DU49" s="5"/>
      <c r="DV49" s="5"/>
      <c r="DW49" s="20">
        <v>2</v>
      </c>
      <c r="DX49" s="5"/>
      <c r="DY49" s="5"/>
      <c r="DZ49" s="5"/>
      <c r="EA49" s="5"/>
      <c r="EB49" s="5">
        <v>52</v>
      </c>
      <c r="EC49" s="5"/>
      <c r="ED49" s="5"/>
      <c r="EE49" s="5"/>
      <c r="EF49" s="5"/>
      <c r="EG49" s="20"/>
      <c r="EH49" s="5"/>
      <c r="EI49" s="5"/>
      <c r="EJ49" s="5"/>
      <c r="EK49" s="5"/>
      <c r="EL49" s="5"/>
      <c r="EM49" s="21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4"/>
    </row>
    <row r="50" spans="1:181" ht="15" x14ac:dyDescent="0.2">
      <c r="A50" s="4" t="s">
        <v>386</v>
      </c>
      <c r="B50" s="4" t="s">
        <v>1</v>
      </c>
      <c r="C50" s="4" t="s">
        <v>2</v>
      </c>
      <c r="D50" s="4" t="s">
        <v>3</v>
      </c>
      <c r="E50" s="5" t="s">
        <v>3</v>
      </c>
      <c r="F50" s="5" t="s">
        <v>383</v>
      </c>
      <c r="G50" s="5">
        <v>0.2</v>
      </c>
      <c r="H50" s="5">
        <v>0.01</v>
      </c>
      <c r="I50" s="5"/>
      <c r="J50" s="20"/>
      <c r="K50" s="5">
        <v>51.85</v>
      </c>
      <c r="L50" s="5">
        <v>1.2</v>
      </c>
      <c r="M50" s="5">
        <v>16.829999999999998</v>
      </c>
      <c r="N50" s="5">
        <v>2.02</v>
      </c>
      <c r="O50" s="5">
        <v>7.54</v>
      </c>
      <c r="P50" s="5">
        <v>0.18</v>
      </c>
      <c r="Q50" s="5">
        <v>3.84</v>
      </c>
      <c r="R50" s="5">
        <v>7.89</v>
      </c>
      <c r="S50" s="5">
        <v>3.7</v>
      </c>
      <c r="T50" s="5">
        <v>0.83</v>
      </c>
      <c r="U50" s="5">
        <v>0.2</v>
      </c>
      <c r="V50" s="5">
        <v>1623</v>
      </c>
      <c r="W50" s="5">
        <v>1111</v>
      </c>
      <c r="X50" s="5">
        <v>3.77</v>
      </c>
      <c r="Y50" s="5">
        <v>228</v>
      </c>
      <c r="Z50" s="20">
        <v>100.2</v>
      </c>
      <c r="AA50" s="5">
        <v>1022</v>
      </c>
      <c r="AB50" s="5">
        <v>1043</v>
      </c>
      <c r="AC50" s="5">
        <v>807</v>
      </c>
      <c r="AD50" s="5">
        <v>1022</v>
      </c>
      <c r="AE50" s="5">
        <v>1.1000000000000001</v>
      </c>
      <c r="AF50" s="5">
        <v>0.31</v>
      </c>
      <c r="AG50" s="5">
        <v>204</v>
      </c>
      <c r="AH50" s="20">
        <v>8</v>
      </c>
      <c r="AI50" s="5">
        <v>2.41</v>
      </c>
      <c r="AJ50" s="5">
        <v>0.05</v>
      </c>
      <c r="AK50" s="5">
        <v>0.83</v>
      </c>
      <c r="AL50" s="5">
        <v>0.13</v>
      </c>
      <c r="AM50" s="5">
        <v>0.6</v>
      </c>
      <c r="AN50" s="5">
        <v>0.01</v>
      </c>
      <c r="AO50" s="5">
        <v>0.57999999999999996</v>
      </c>
      <c r="AP50" s="5">
        <v>0.48</v>
      </c>
      <c r="AQ50" s="5">
        <v>0.17</v>
      </c>
      <c r="AR50" s="5">
        <v>0.04</v>
      </c>
      <c r="AS50" s="5">
        <v>0.01</v>
      </c>
      <c r="AT50" s="5">
        <v>89</v>
      </c>
      <c r="AU50" s="5">
        <v>59</v>
      </c>
      <c r="AV50" s="5">
        <v>0.2</v>
      </c>
      <c r="AW50" s="5">
        <v>13</v>
      </c>
      <c r="AX50" s="5">
        <v>7</v>
      </c>
      <c r="AY50" s="5">
        <v>22</v>
      </c>
      <c r="AZ50" s="5">
        <v>164</v>
      </c>
      <c r="BA50" s="5">
        <v>12</v>
      </c>
      <c r="BB50" s="5">
        <v>1.85</v>
      </c>
      <c r="BC50" s="5">
        <v>0</v>
      </c>
      <c r="BD50" s="5">
        <v>15</v>
      </c>
      <c r="BE50" s="20">
        <v>0.6</v>
      </c>
      <c r="BF50" s="5">
        <v>0.2</v>
      </c>
      <c r="BG50" s="5">
        <v>0.3</v>
      </c>
      <c r="BH50" s="5">
        <v>1.2</v>
      </c>
      <c r="BI50" s="5">
        <v>0.79</v>
      </c>
      <c r="BJ50" s="5"/>
      <c r="BK50" s="5"/>
      <c r="BL50" s="5"/>
      <c r="BM50" s="5">
        <v>349</v>
      </c>
      <c r="BN50" s="5">
        <v>137</v>
      </c>
      <c r="BO50" s="5">
        <v>831</v>
      </c>
      <c r="BP50" s="5">
        <v>403</v>
      </c>
      <c r="BQ50" s="5"/>
      <c r="BR50" s="5"/>
      <c r="BS50" s="5">
        <v>225</v>
      </c>
      <c r="BT50" s="5">
        <v>31</v>
      </c>
      <c r="BU50" s="5">
        <v>322</v>
      </c>
      <c r="BV50" s="5">
        <v>75</v>
      </c>
      <c r="BW50" s="5"/>
      <c r="BX50" s="5"/>
      <c r="BY50" s="5">
        <v>8.8000000000000007</v>
      </c>
      <c r="BZ50" s="5">
        <v>1.1000000000000001</v>
      </c>
      <c r="CA50" s="5">
        <v>12.2</v>
      </c>
      <c r="CB50" s="20">
        <v>2.6</v>
      </c>
      <c r="CC50" s="5">
        <v>3.6</v>
      </c>
      <c r="CD50" s="5">
        <v>311</v>
      </c>
      <c r="CE50" s="20">
        <v>11.8</v>
      </c>
      <c r="CF50" s="5">
        <v>52</v>
      </c>
      <c r="CG50" s="5">
        <v>1.21</v>
      </c>
      <c r="CH50" s="5">
        <v>17.010000000000002</v>
      </c>
      <c r="CI50" s="5">
        <v>9.1999999999999993</v>
      </c>
      <c r="CJ50" s="5">
        <v>0.19</v>
      </c>
      <c r="CK50" s="5">
        <v>3.48</v>
      </c>
      <c r="CL50" s="5">
        <v>7.98</v>
      </c>
      <c r="CM50" s="5">
        <v>3.74</v>
      </c>
      <c r="CN50" s="5">
        <v>0.84</v>
      </c>
      <c r="CO50" s="5">
        <v>0.2</v>
      </c>
      <c r="CP50" s="5">
        <v>1641</v>
      </c>
      <c r="CQ50" s="5"/>
      <c r="CR50" s="5"/>
      <c r="CS50" s="5">
        <v>1123</v>
      </c>
      <c r="CT50" s="5">
        <v>3.82</v>
      </c>
      <c r="CU50" s="20">
        <v>231</v>
      </c>
      <c r="CV50" s="5">
        <v>2.6</v>
      </c>
      <c r="CW50" s="5">
        <v>0.06</v>
      </c>
      <c r="CX50" s="5">
        <v>0.85</v>
      </c>
      <c r="CY50" s="5">
        <v>0.46</v>
      </c>
      <c r="CZ50" s="5">
        <v>0.01</v>
      </c>
      <c r="DA50" s="5">
        <v>0.17</v>
      </c>
      <c r="DB50" s="5">
        <v>0.4</v>
      </c>
      <c r="DC50" s="5">
        <v>0.19</v>
      </c>
      <c r="DD50" s="5">
        <v>0.04</v>
      </c>
      <c r="DE50" s="5">
        <v>0.01</v>
      </c>
      <c r="DF50" s="5">
        <v>82</v>
      </c>
      <c r="DG50" s="5"/>
      <c r="DH50" s="5"/>
      <c r="DI50" s="5">
        <v>56</v>
      </c>
      <c r="DJ50" s="5">
        <v>0.19</v>
      </c>
      <c r="DK50" s="20">
        <v>12</v>
      </c>
      <c r="DL50" s="5"/>
      <c r="DM50" s="5"/>
      <c r="DN50" s="5"/>
      <c r="DO50" s="5"/>
      <c r="DP50" s="5"/>
      <c r="DQ50" s="20">
        <v>74.3</v>
      </c>
      <c r="DR50" s="5"/>
      <c r="DS50" s="5"/>
      <c r="DT50" s="5"/>
      <c r="DU50" s="5"/>
      <c r="DV50" s="5"/>
      <c r="DW50" s="20">
        <v>2</v>
      </c>
      <c r="DX50" s="5"/>
      <c r="DY50" s="5"/>
      <c r="DZ50" s="5"/>
      <c r="EA50" s="5"/>
      <c r="EB50" s="5">
        <v>73</v>
      </c>
      <c r="EC50" s="5"/>
      <c r="ED50" s="5"/>
      <c r="EE50" s="5"/>
      <c r="EF50" s="5"/>
      <c r="EG50" s="20"/>
      <c r="EH50" s="5"/>
      <c r="EI50" s="5"/>
      <c r="EJ50" s="5"/>
      <c r="EK50" s="5"/>
      <c r="EL50" s="5"/>
      <c r="EM50" s="21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4"/>
    </row>
    <row r="51" spans="1:181" ht="15" x14ac:dyDescent="0.2">
      <c r="A51" s="4" t="s">
        <v>387</v>
      </c>
      <c r="B51" s="4" t="s">
        <v>1</v>
      </c>
      <c r="C51" s="4" t="s">
        <v>2</v>
      </c>
      <c r="D51" s="4" t="s">
        <v>3</v>
      </c>
      <c r="E51" s="5" t="s">
        <v>3</v>
      </c>
      <c r="F51" s="5" t="s">
        <v>388</v>
      </c>
      <c r="G51" s="5">
        <v>0.2</v>
      </c>
      <c r="H51" s="5">
        <v>0.01</v>
      </c>
      <c r="I51" s="5"/>
      <c r="J51" s="20"/>
      <c r="K51" s="5">
        <v>56.24</v>
      </c>
      <c r="L51" s="5">
        <v>1.02</v>
      </c>
      <c r="M51" s="5">
        <v>15.98</v>
      </c>
      <c r="N51" s="5">
        <v>1.54</v>
      </c>
      <c r="O51" s="5">
        <v>7.05</v>
      </c>
      <c r="P51" s="5">
        <v>0.13</v>
      </c>
      <c r="Q51" s="5">
        <v>3.71</v>
      </c>
      <c r="R51" s="5">
        <v>6.3</v>
      </c>
      <c r="S51" s="5">
        <v>3.88</v>
      </c>
      <c r="T51" s="5">
        <v>1.1299999999999999</v>
      </c>
      <c r="U51" s="5">
        <v>0.28999999999999998</v>
      </c>
      <c r="V51" s="5">
        <v>635</v>
      </c>
      <c r="W51" s="5">
        <v>1410</v>
      </c>
      <c r="X51" s="5">
        <v>2.73</v>
      </c>
      <c r="Y51" s="5">
        <v>131</v>
      </c>
      <c r="Z51" s="20">
        <v>100.2</v>
      </c>
      <c r="AA51" s="5">
        <v>979</v>
      </c>
      <c r="AB51" s="5">
        <v>1062</v>
      </c>
      <c r="AC51" s="5">
        <v>770</v>
      </c>
      <c r="AD51" s="5">
        <v>979</v>
      </c>
      <c r="AE51" s="5">
        <v>5.7</v>
      </c>
      <c r="AF51" s="5">
        <v>0.35</v>
      </c>
      <c r="AG51" s="5">
        <v>121</v>
      </c>
      <c r="AH51" s="20">
        <v>4.9000000000000004</v>
      </c>
      <c r="AI51" s="5">
        <v>2.57</v>
      </c>
      <c r="AJ51" s="5">
        <v>0.05</v>
      </c>
      <c r="AK51" s="5">
        <v>0.73</v>
      </c>
      <c r="AL51" s="5">
        <v>0.09</v>
      </c>
      <c r="AM51" s="5">
        <v>0.5</v>
      </c>
      <c r="AN51" s="5">
        <v>0.01</v>
      </c>
      <c r="AO51" s="5">
        <v>0.57999999999999996</v>
      </c>
      <c r="AP51" s="5">
        <v>0.32</v>
      </c>
      <c r="AQ51" s="5">
        <v>0.21</v>
      </c>
      <c r="AR51" s="5">
        <v>0.06</v>
      </c>
      <c r="AS51" s="5">
        <v>0.02</v>
      </c>
      <c r="AT51" s="5">
        <v>32</v>
      </c>
      <c r="AU51" s="5">
        <v>77</v>
      </c>
      <c r="AV51" s="5">
        <v>0.1</v>
      </c>
      <c r="AW51" s="5">
        <v>7</v>
      </c>
      <c r="AX51" s="5">
        <v>7</v>
      </c>
      <c r="AY51" s="5">
        <v>21</v>
      </c>
      <c r="AZ51" s="5">
        <v>179</v>
      </c>
      <c r="BA51" s="5">
        <v>13</v>
      </c>
      <c r="BB51" s="5">
        <v>1.78</v>
      </c>
      <c r="BC51" s="5">
        <v>0</v>
      </c>
      <c r="BD51" s="5">
        <v>9</v>
      </c>
      <c r="BE51" s="20">
        <v>0.3</v>
      </c>
      <c r="BF51" s="5">
        <v>1.3</v>
      </c>
      <c r="BG51" s="5">
        <v>0.4</v>
      </c>
      <c r="BH51" s="5">
        <v>1</v>
      </c>
      <c r="BI51" s="5">
        <v>0.59</v>
      </c>
      <c r="BJ51" s="5"/>
      <c r="BK51" s="5"/>
      <c r="BL51" s="5"/>
      <c r="BM51" s="5">
        <v>624</v>
      </c>
      <c r="BN51" s="5">
        <v>131</v>
      </c>
      <c r="BO51" s="5">
        <v>556</v>
      </c>
      <c r="BP51" s="5">
        <v>229</v>
      </c>
      <c r="BQ51" s="5"/>
      <c r="BR51" s="5"/>
      <c r="BS51" s="5">
        <v>212</v>
      </c>
      <c r="BT51" s="5">
        <v>24</v>
      </c>
      <c r="BU51" s="5">
        <v>198</v>
      </c>
      <c r="BV51" s="5">
        <v>47</v>
      </c>
      <c r="BW51" s="5"/>
      <c r="BX51" s="5"/>
      <c r="BY51" s="5">
        <v>8.3000000000000007</v>
      </c>
      <c r="BZ51" s="5">
        <v>0.9</v>
      </c>
      <c r="CA51" s="5">
        <v>7.8</v>
      </c>
      <c r="CB51" s="20">
        <v>1.7</v>
      </c>
      <c r="CC51" s="5">
        <v>3.9</v>
      </c>
      <c r="CD51" s="5">
        <v>275</v>
      </c>
      <c r="CE51" s="20">
        <v>10.5</v>
      </c>
      <c r="CF51" s="5">
        <v>57.31</v>
      </c>
      <c r="CG51" s="5">
        <v>1.08</v>
      </c>
      <c r="CH51" s="5">
        <v>16.89</v>
      </c>
      <c r="CI51" s="5">
        <v>7.31</v>
      </c>
      <c r="CJ51" s="5">
        <v>0.14000000000000001</v>
      </c>
      <c r="CK51" s="5">
        <v>1.97</v>
      </c>
      <c r="CL51" s="5">
        <v>6.65</v>
      </c>
      <c r="CM51" s="5">
        <v>4.0999999999999996</v>
      </c>
      <c r="CN51" s="5">
        <v>1.19</v>
      </c>
      <c r="CO51" s="5">
        <v>0.31</v>
      </c>
      <c r="CP51" s="5">
        <v>672</v>
      </c>
      <c r="CQ51" s="5"/>
      <c r="CR51" s="5"/>
      <c r="CS51" s="5">
        <v>1490</v>
      </c>
      <c r="CT51" s="5">
        <v>2.88</v>
      </c>
      <c r="CU51" s="20">
        <v>139</v>
      </c>
      <c r="CV51" s="5">
        <v>2.87</v>
      </c>
      <c r="CW51" s="5">
        <v>0.05</v>
      </c>
      <c r="CX51" s="5">
        <v>0.84</v>
      </c>
      <c r="CY51" s="5">
        <v>0.37</v>
      </c>
      <c r="CZ51" s="5">
        <v>0.01</v>
      </c>
      <c r="DA51" s="5">
        <v>0.1</v>
      </c>
      <c r="DB51" s="5">
        <v>0.33</v>
      </c>
      <c r="DC51" s="5">
        <v>0.2</v>
      </c>
      <c r="DD51" s="5">
        <v>0.06</v>
      </c>
      <c r="DE51" s="5">
        <v>0.02</v>
      </c>
      <c r="DF51" s="5">
        <v>34</v>
      </c>
      <c r="DG51" s="5"/>
      <c r="DH51" s="5"/>
      <c r="DI51" s="5">
        <v>75</v>
      </c>
      <c r="DJ51" s="5">
        <v>0.14000000000000001</v>
      </c>
      <c r="DK51" s="20">
        <v>7</v>
      </c>
      <c r="DL51" s="5"/>
      <c r="DM51" s="5"/>
      <c r="DN51" s="5"/>
      <c r="DO51" s="5"/>
      <c r="DP51" s="5"/>
      <c r="DQ51" s="20">
        <v>72.8</v>
      </c>
      <c r="DR51" s="5"/>
      <c r="DS51" s="5"/>
      <c r="DT51" s="5"/>
      <c r="DU51" s="5"/>
      <c r="DV51" s="5"/>
      <c r="DW51" s="20">
        <v>2</v>
      </c>
      <c r="DX51" s="5"/>
      <c r="DY51" s="5"/>
      <c r="DZ51" s="5"/>
      <c r="EA51" s="5"/>
      <c r="EB51" s="5">
        <v>53</v>
      </c>
      <c r="EC51" s="5"/>
      <c r="ED51" s="5"/>
      <c r="EE51" s="5"/>
      <c r="EF51" s="5"/>
      <c r="EG51" s="20"/>
      <c r="EH51" s="5"/>
      <c r="EI51" s="5"/>
      <c r="EJ51" s="5"/>
      <c r="EK51" s="5"/>
      <c r="EL51" s="5"/>
      <c r="EM51" s="21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4"/>
    </row>
    <row r="52" spans="1:181" ht="15" x14ac:dyDescent="0.2">
      <c r="A52" s="4" t="s">
        <v>389</v>
      </c>
      <c r="B52" s="4" t="s">
        <v>1</v>
      </c>
      <c r="C52" s="4" t="s">
        <v>2</v>
      </c>
      <c r="D52" s="4" t="s">
        <v>3</v>
      </c>
      <c r="E52" s="5" t="s">
        <v>3</v>
      </c>
      <c r="F52" s="5" t="s">
        <v>388</v>
      </c>
      <c r="G52" s="5">
        <v>0.2</v>
      </c>
      <c r="H52" s="5">
        <v>0.01</v>
      </c>
      <c r="I52" s="5"/>
      <c r="J52" s="20"/>
      <c r="K52" s="5">
        <v>54.42</v>
      </c>
      <c r="L52" s="5">
        <v>0.81</v>
      </c>
      <c r="M52" s="5">
        <v>16.309999999999999</v>
      </c>
      <c r="N52" s="5">
        <v>1.56</v>
      </c>
      <c r="O52" s="5">
        <v>7.93</v>
      </c>
      <c r="P52" s="5">
        <v>0.1</v>
      </c>
      <c r="Q52" s="5">
        <v>4.08</v>
      </c>
      <c r="R52" s="5">
        <v>6.8</v>
      </c>
      <c r="S52" s="5">
        <v>4.25</v>
      </c>
      <c r="T52" s="5">
        <v>0.91</v>
      </c>
      <c r="U52" s="5">
        <v>0.31</v>
      </c>
      <c r="V52" s="5">
        <v>1023</v>
      </c>
      <c r="W52" s="5">
        <v>1235</v>
      </c>
      <c r="X52" s="5">
        <v>2.92</v>
      </c>
      <c r="Y52" s="5">
        <v>308</v>
      </c>
      <c r="Z52" s="20">
        <v>100.7</v>
      </c>
      <c r="AA52" s="5">
        <v>965</v>
      </c>
      <c r="AB52" s="5">
        <v>1082</v>
      </c>
      <c r="AC52" s="5">
        <v>746</v>
      </c>
      <c r="AD52" s="5">
        <v>965</v>
      </c>
      <c r="AE52" s="5">
        <v>8.3000000000000007</v>
      </c>
      <c r="AF52" s="5">
        <v>0.36</v>
      </c>
      <c r="AG52" s="5">
        <v>187</v>
      </c>
      <c r="AH52" s="20">
        <v>7.4</v>
      </c>
      <c r="AI52" s="5">
        <v>2.34</v>
      </c>
      <c r="AJ52" s="5">
        <v>0.04</v>
      </c>
      <c r="AK52" s="5">
        <v>0.96</v>
      </c>
      <c r="AL52" s="5">
        <v>0.09</v>
      </c>
      <c r="AM52" s="5">
        <v>0.64</v>
      </c>
      <c r="AN52" s="5">
        <v>0.01</v>
      </c>
      <c r="AO52" s="5">
        <v>0.57999999999999996</v>
      </c>
      <c r="AP52" s="5">
        <v>0.43</v>
      </c>
      <c r="AQ52" s="5">
        <v>0.23</v>
      </c>
      <c r="AR52" s="5">
        <v>0.04</v>
      </c>
      <c r="AS52" s="5">
        <v>0.02</v>
      </c>
      <c r="AT52" s="5">
        <v>51</v>
      </c>
      <c r="AU52" s="5">
        <v>60</v>
      </c>
      <c r="AV52" s="5">
        <v>0.2</v>
      </c>
      <c r="AW52" s="5">
        <v>17</v>
      </c>
      <c r="AX52" s="5">
        <v>8</v>
      </c>
      <c r="AY52" s="5">
        <v>23</v>
      </c>
      <c r="AZ52" s="5">
        <v>167</v>
      </c>
      <c r="BA52" s="5">
        <v>12</v>
      </c>
      <c r="BB52" s="5">
        <v>2.09</v>
      </c>
      <c r="BC52" s="5">
        <v>0.02</v>
      </c>
      <c r="BD52" s="5">
        <v>13</v>
      </c>
      <c r="BE52" s="20">
        <v>0.5</v>
      </c>
      <c r="BF52" s="5">
        <v>1.8</v>
      </c>
      <c r="BG52" s="5">
        <v>0.4</v>
      </c>
      <c r="BH52" s="5">
        <v>1.3</v>
      </c>
      <c r="BI52" s="5">
        <v>0.71</v>
      </c>
      <c r="BJ52" s="5"/>
      <c r="BK52" s="5"/>
      <c r="BL52" s="5"/>
      <c r="BM52" s="5">
        <v>1662</v>
      </c>
      <c r="BN52" s="5">
        <v>265</v>
      </c>
      <c r="BO52" s="5">
        <v>1347</v>
      </c>
      <c r="BP52" s="5">
        <v>440</v>
      </c>
      <c r="BQ52" s="5"/>
      <c r="BR52" s="5"/>
      <c r="BS52" s="5">
        <v>407</v>
      </c>
      <c r="BT52" s="5">
        <v>41</v>
      </c>
      <c r="BU52" s="5">
        <v>356</v>
      </c>
      <c r="BV52" s="5">
        <v>78</v>
      </c>
      <c r="BW52" s="5"/>
      <c r="BX52" s="5"/>
      <c r="BY52" s="5">
        <v>15.1</v>
      </c>
      <c r="BZ52" s="5">
        <v>1.4</v>
      </c>
      <c r="CA52" s="5">
        <v>13.4</v>
      </c>
      <c r="CB52" s="20">
        <v>2.7</v>
      </c>
      <c r="CC52" s="5">
        <v>4</v>
      </c>
      <c r="CD52" s="5">
        <v>420</v>
      </c>
      <c r="CE52" s="20">
        <v>15.6</v>
      </c>
      <c r="CF52" s="5">
        <v>55.84</v>
      </c>
      <c r="CG52" s="5">
        <v>0.87</v>
      </c>
      <c r="CH52" s="5">
        <v>17.66</v>
      </c>
      <c r="CI52" s="5">
        <v>7.61</v>
      </c>
      <c r="CJ52" s="5">
        <v>0.11</v>
      </c>
      <c r="CK52" s="5">
        <v>1.7</v>
      </c>
      <c r="CL52" s="5">
        <v>7.36</v>
      </c>
      <c r="CM52" s="5">
        <v>4.5999999999999996</v>
      </c>
      <c r="CN52" s="5">
        <v>0.98</v>
      </c>
      <c r="CO52" s="5">
        <v>0.33</v>
      </c>
      <c r="CP52" s="5">
        <v>1107</v>
      </c>
      <c r="CQ52" s="5"/>
      <c r="CR52" s="5"/>
      <c r="CS52" s="5">
        <v>1337</v>
      </c>
      <c r="CT52" s="5">
        <v>3.17</v>
      </c>
      <c r="CU52" s="20">
        <v>333</v>
      </c>
      <c r="CV52" s="5">
        <v>2.79</v>
      </c>
      <c r="CW52" s="5">
        <v>0.04</v>
      </c>
      <c r="CX52" s="5">
        <v>0.88</v>
      </c>
      <c r="CY52" s="5">
        <v>0.38</v>
      </c>
      <c r="CZ52" s="5">
        <v>0.01</v>
      </c>
      <c r="DA52" s="5">
        <v>0.08</v>
      </c>
      <c r="DB52" s="5">
        <v>0.37</v>
      </c>
      <c r="DC52" s="5">
        <v>0.23</v>
      </c>
      <c r="DD52" s="5">
        <v>0.05</v>
      </c>
      <c r="DE52" s="5">
        <v>0.02</v>
      </c>
      <c r="DF52" s="5">
        <v>55</v>
      </c>
      <c r="DG52" s="5"/>
      <c r="DH52" s="5"/>
      <c r="DI52" s="5">
        <v>67</v>
      </c>
      <c r="DJ52" s="5">
        <v>0.16</v>
      </c>
      <c r="DK52" s="20">
        <v>17</v>
      </c>
      <c r="DL52" s="5"/>
      <c r="DM52" s="5"/>
      <c r="DN52" s="5"/>
      <c r="DO52" s="5"/>
      <c r="DP52" s="5"/>
      <c r="DQ52" s="20">
        <v>72</v>
      </c>
      <c r="DR52" s="5"/>
      <c r="DS52" s="5"/>
      <c r="DT52" s="5"/>
      <c r="DU52" s="5"/>
      <c r="DV52" s="5"/>
      <c r="DW52" s="20">
        <v>2</v>
      </c>
      <c r="DX52" s="5"/>
      <c r="DY52" s="5"/>
      <c r="DZ52" s="5"/>
      <c r="EA52" s="5"/>
      <c r="EB52" s="5">
        <v>31</v>
      </c>
      <c r="EC52" s="5"/>
      <c r="ED52" s="5"/>
      <c r="EE52" s="5"/>
      <c r="EF52" s="5"/>
      <c r="EG52" s="20"/>
      <c r="EH52" s="5"/>
      <c r="EI52" s="5"/>
      <c r="EJ52" s="5"/>
      <c r="EK52" s="5"/>
      <c r="EL52" s="5"/>
      <c r="EM52" s="21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4"/>
    </row>
    <row r="53" spans="1:181" ht="15" x14ac:dyDescent="0.2">
      <c r="A53" s="4" t="s">
        <v>390</v>
      </c>
      <c r="B53" s="4" t="s">
        <v>1</v>
      </c>
      <c r="C53" s="4" t="s">
        <v>2</v>
      </c>
      <c r="D53" s="4" t="s">
        <v>3</v>
      </c>
      <c r="E53" s="5" t="s">
        <v>3</v>
      </c>
      <c r="F53" s="5" t="s">
        <v>388</v>
      </c>
      <c r="G53" s="5">
        <v>0.2</v>
      </c>
      <c r="H53" s="5">
        <v>0.01</v>
      </c>
      <c r="I53" s="5"/>
      <c r="J53" s="20"/>
      <c r="K53" s="5">
        <v>53.85</v>
      </c>
      <c r="L53" s="5">
        <v>0.74</v>
      </c>
      <c r="M53" s="5">
        <v>16.079999999999998</v>
      </c>
      <c r="N53" s="5">
        <v>1.57</v>
      </c>
      <c r="O53" s="5">
        <v>7.95</v>
      </c>
      <c r="P53" s="5">
        <v>0.13</v>
      </c>
      <c r="Q53" s="5">
        <v>4.3099999999999996</v>
      </c>
      <c r="R53" s="5">
        <v>6.66</v>
      </c>
      <c r="S53" s="5">
        <v>3.87</v>
      </c>
      <c r="T53" s="5">
        <v>0.87</v>
      </c>
      <c r="U53" s="5">
        <v>0.28000000000000003</v>
      </c>
      <c r="V53" s="5">
        <v>1038</v>
      </c>
      <c r="W53" s="5">
        <v>1325</v>
      </c>
      <c r="X53" s="5">
        <v>3.52</v>
      </c>
      <c r="Y53" s="5">
        <v>276</v>
      </c>
      <c r="Z53" s="20">
        <v>100.1</v>
      </c>
      <c r="AA53" s="5">
        <v>965</v>
      </c>
      <c r="AB53" s="5">
        <v>1083</v>
      </c>
      <c r="AC53" s="5">
        <v>736</v>
      </c>
      <c r="AD53" s="5">
        <v>965</v>
      </c>
      <c r="AE53" s="5">
        <v>8.5</v>
      </c>
      <c r="AF53" s="5">
        <v>0.36</v>
      </c>
      <c r="AG53" s="5">
        <v>229</v>
      </c>
      <c r="AH53" s="20">
        <v>8.9</v>
      </c>
      <c r="AI53" s="5">
        <v>2.5</v>
      </c>
      <c r="AJ53" s="5">
        <v>0.03</v>
      </c>
      <c r="AK53" s="5">
        <v>0.93</v>
      </c>
      <c r="AL53" s="5">
        <v>0.1</v>
      </c>
      <c r="AM53" s="5">
        <v>0.57999999999999996</v>
      </c>
      <c r="AN53" s="5">
        <v>0.01</v>
      </c>
      <c r="AO53" s="5">
        <v>0.56999999999999995</v>
      </c>
      <c r="AP53" s="5">
        <v>0.38</v>
      </c>
      <c r="AQ53" s="5">
        <v>0.25</v>
      </c>
      <c r="AR53" s="5">
        <v>0.04</v>
      </c>
      <c r="AS53" s="5">
        <v>0.01</v>
      </c>
      <c r="AT53" s="5">
        <v>54</v>
      </c>
      <c r="AU53" s="5">
        <v>73</v>
      </c>
      <c r="AV53" s="5">
        <v>0.2</v>
      </c>
      <c r="AW53" s="5">
        <v>12</v>
      </c>
      <c r="AX53" s="5">
        <v>7</v>
      </c>
      <c r="AY53" s="5">
        <v>21</v>
      </c>
      <c r="AZ53" s="5">
        <v>188</v>
      </c>
      <c r="BA53" s="5">
        <v>11</v>
      </c>
      <c r="BB53" s="5">
        <v>2.04</v>
      </c>
      <c r="BC53" s="5">
        <v>0.02</v>
      </c>
      <c r="BD53" s="5">
        <v>13</v>
      </c>
      <c r="BE53" s="20">
        <v>0.5</v>
      </c>
      <c r="BF53" s="5">
        <v>1.8</v>
      </c>
      <c r="BG53" s="5">
        <v>0.3</v>
      </c>
      <c r="BH53" s="5">
        <v>2</v>
      </c>
      <c r="BI53" s="5">
        <v>1.1499999999999999</v>
      </c>
      <c r="BJ53" s="5"/>
      <c r="BK53" s="5"/>
      <c r="BL53" s="5"/>
      <c r="BM53" s="5">
        <v>1378</v>
      </c>
      <c r="BN53" s="5">
        <v>213</v>
      </c>
      <c r="BO53" s="5">
        <v>1419</v>
      </c>
      <c r="BP53" s="5">
        <v>472</v>
      </c>
      <c r="BQ53" s="5"/>
      <c r="BR53" s="5"/>
      <c r="BS53" s="5">
        <v>397</v>
      </c>
      <c r="BT53" s="5">
        <v>26</v>
      </c>
      <c r="BU53" s="5">
        <v>403</v>
      </c>
      <c r="BV53" s="5">
        <v>81</v>
      </c>
      <c r="BW53" s="5"/>
      <c r="BX53" s="5"/>
      <c r="BY53" s="5">
        <v>14.8</v>
      </c>
      <c r="BZ53" s="5">
        <v>0.9</v>
      </c>
      <c r="CA53" s="5">
        <v>15</v>
      </c>
      <c r="CB53" s="20">
        <v>2.8</v>
      </c>
      <c r="CC53" s="5">
        <v>4.2</v>
      </c>
      <c r="CD53" s="5">
        <v>447</v>
      </c>
      <c r="CE53" s="20">
        <v>16.5</v>
      </c>
      <c r="CF53" s="5">
        <v>55.28</v>
      </c>
      <c r="CG53" s="5">
        <v>0.8</v>
      </c>
      <c r="CH53" s="5">
        <v>17.46</v>
      </c>
      <c r="CI53" s="5">
        <v>7.66</v>
      </c>
      <c r="CJ53" s="5">
        <v>0.14000000000000001</v>
      </c>
      <c r="CK53" s="5">
        <v>1.81</v>
      </c>
      <c r="CL53" s="5">
        <v>7.23</v>
      </c>
      <c r="CM53" s="5">
        <v>4.2</v>
      </c>
      <c r="CN53" s="5">
        <v>0.94</v>
      </c>
      <c r="CO53" s="5">
        <v>0.3</v>
      </c>
      <c r="CP53" s="5">
        <v>1127</v>
      </c>
      <c r="CQ53" s="5"/>
      <c r="CR53" s="5"/>
      <c r="CS53" s="5">
        <v>1438</v>
      </c>
      <c r="CT53" s="5">
        <v>3.83</v>
      </c>
      <c r="CU53" s="20">
        <v>300</v>
      </c>
      <c r="CV53" s="5">
        <v>2.76</v>
      </c>
      <c r="CW53" s="5">
        <v>0.04</v>
      </c>
      <c r="CX53" s="5">
        <v>0.87</v>
      </c>
      <c r="CY53" s="5">
        <v>0.38</v>
      </c>
      <c r="CZ53" s="5">
        <v>0.01</v>
      </c>
      <c r="DA53" s="5">
        <v>0.09</v>
      </c>
      <c r="DB53" s="5">
        <v>0.36</v>
      </c>
      <c r="DC53" s="5">
        <v>0.21</v>
      </c>
      <c r="DD53" s="5">
        <v>0.05</v>
      </c>
      <c r="DE53" s="5">
        <v>0.02</v>
      </c>
      <c r="DF53" s="5">
        <v>56</v>
      </c>
      <c r="DG53" s="5"/>
      <c r="DH53" s="5"/>
      <c r="DI53" s="5">
        <v>72</v>
      </c>
      <c r="DJ53" s="5">
        <v>0.19</v>
      </c>
      <c r="DK53" s="20">
        <v>15</v>
      </c>
      <c r="DL53" s="5"/>
      <c r="DM53" s="5"/>
      <c r="DN53" s="5"/>
      <c r="DO53" s="5"/>
      <c r="DP53" s="5"/>
      <c r="DQ53" s="20">
        <v>72.8</v>
      </c>
      <c r="DR53" s="5"/>
      <c r="DS53" s="5"/>
      <c r="DT53" s="5"/>
      <c r="DU53" s="5"/>
      <c r="DV53" s="5"/>
      <c r="DW53" s="20">
        <v>2</v>
      </c>
      <c r="DX53" s="5"/>
      <c r="DY53" s="5"/>
      <c r="DZ53" s="5"/>
      <c r="EA53" s="5"/>
      <c r="EB53" s="5">
        <v>53</v>
      </c>
      <c r="EC53" s="5"/>
      <c r="ED53" s="5"/>
      <c r="EE53" s="5"/>
      <c r="EF53" s="5"/>
      <c r="EG53" s="20"/>
      <c r="EH53" s="5"/>
      <c r="EI53" s="5"/>
      <c r="EJ53" s="5"/>
      <c r="EK53" s="5"/>
      <c r="EL53" s="5"/>
      <c r="EM53" s="21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4"/>
    </row>
    <row r="54" spans="1:181" ht="15" x14ac:dyDescent="0.2">
      <c r="A54" s="4" t="s">
        <v>391</v>
      </c>
      <c r="B54" s="4" t="s">
        <v>1</v>
      </c>
      <c r="C54" s="4" t="s">
        <v>2</v>
      </c>
      <c r="D54" s="4" t="s">
        <v>3</v>
      </c>
      <c r="E54" s="5" t="s">
        <v>3</v>
      </c>
      <c r="F54" s="5" t="s">
        <v>388</v>
      </c>
      <c r="G54" s="5">
        <v>0.2</v>
      </c>
      <c r="H54" s="5">
        <v>0.01</v>
      </c>
      <c r="I54" s="5"/>
      <c r="J54" s="20"/>
      <c r="K54" s="5">
        <v>49.55</v>
      </c>
      <c r="L54" s="5">
        <v>1.07</v>
      </c>
      <c r="M54" s="5">
        <v>17.84</v>
      </c>
      <c r="N54" s="5">
        <v>2.1</v>
      </c>
      <c r="O54" s="5">
        <v>7.76</v>
      </c>
      <c r="P54" s="5">
        <v>0.17</v>
      </c>
      <c r="Q54" s="5">
        <v>3.77</v>
      </c>
      <c r="R54" s="5">
        <v>8.74</v>
      </c>
      <c r="S54" s="5">
        <v>3.49</v>
      </c>
      <c r="T54" s="5">
        <v>0.7</v>
      </c>
      <c r="U54" s="5">
        <v>0.23</v>
      </c>
      <c r="V54" s="5">
        <v>2059</v>
      </c>
      <c r="W54" s="5">
        <v>1027</v>
      </c>
      <c r="X54" s="5">
        <v>3.55</v>
      </c>
      <c r="Y54" s="5">
        <v>351</v>
      </c>
      <c r="Z54" s="20">
        <v>99.3</v>
      </c>
      <c r="AA54" s="5">
        <v>1023</v>
      </c>
      <c r="AB54" s="5">
        <v>1043</v>
      </c>
      <c r="AC54" s="5">
        <v>804</v>
      </c>
      <c r="AD54" s="5">
        <v>1023</v>
      </c>
      <c r="AE54" s="5">
        <v>0.9</v>
      </c>
      <c r="AF54" s="5">
        <v>0.31</v>
      </c>
      <c r="AG54" s="5">
        <v>214</v>
      </c>
      <c r="AH54" s="20">
        <v>8.4</v>
      </c>
      <c r="AI54" s="5">
        <v>2.37</v>
      </c>
      <c r="AJ54" s="5">
        <v>0.06</v>
      </c>
      <c r="AK54" s="5">
        <v>0.56999999999999995</v>
      </c>
      <c r="AL54" s="5">
        <v>0.15</v>
      </c>
      <c r="AM54" s="5">
        <v>0.52</v>
      </c>
      <c r="AN54" s="5">
        <v>0.01</v>
      </c>
      <c r="AO54" s="5">
        <v>0.47</v>
      </c>
      <c r="AP54" s="5">
        <v>0.55000000000000004</v>
      </c>
      <c r="AQ54" s="5">
        <v>0.16</v>
      </c>
      <c r="AR54" s="5">
        <v>0.03</v>
      </c>
      <c r="AS54" s="5">
        <v>0.01</v>
      </c>
      <c r="AT54" s="5">
        <v>117</v>
      </c>
      <c r="AU54" s="5">
        <v>58</v>
      </c>
      <c r="AV54" s="5">
        <v>0.2</v>
      </c>
      <c r="AW54" s="5">
        <v>19</v>
      </c>
      <c r="AX54" s="5">
        <v>7</v>
      </c>
      <c r="AY54" s="5">
        <v>20</v>
      </c>
      <c r="AZ54" s="5">
        <v>188</v>
      </c>
      <c r="BA54" s="5">
        <v>17</v>
      </c>
      <c r="BB54" s="5">
        <v>1.45</v>
      </c>
      <c r="BC54" s="5">
        <v>0</v>
      </c>
      <c r="BD54" s="5">
        <v>19</v>
      </c>
      <c r="BE54" s="20">
        <v>0.7</v>
      </c>
      <c r="BF54" s="5">
        <v>0.2</v>
      </c>
      <c r="BG54" s="5">
        <v>0.2</v>
      </c>
      <c r="BH54" s="5">
        <v>1</v>
      </c>
      <c r="BI54" s="5">
        <v>0.8</v>
      </c>
      <c r="BJ54" s="5"/>
      <c r="BK54" s="5"/>
      <c r="BL54" s="5"/>
      <c r="BM54" s="5">
        <v>496</v>
      </c>
      <c r="BN54" s="5">
        <v>143</v>
      </c>
      <c r="BO54" s="5">
        <v>1128</v>
      </c>
      <c r="BP54" s="5">
        <v>530</v>
      </c>
      <c r="BQ54" s="5"/>
      <c r="BR54" s="5"/>
      <c r="BS54" s="5">
        <v>241</v>
      </c>
      <c r="BT54" s="5">
        <v>33</v>
      </c>
      <c r="BU54" s="5">
        <v>361</v>
      </c>
      <c r="BV54" s="5">
        <v>104</v>
      </c>
      <c r="BW54" s="5"/>
      <c r="BX54" s="5"/>
      <c r="BY54" s="5">
        <v>9.3000000000000007</v>
      </c>
      <c r="BZ54" s="5">
        <v>1.2</v>
      </c>
      <c r="CA54" s="5">
        <v>13.5</v>
      </c>
      <c r="CB54" s="20">
        <v>3.6</v>
      </c>
      <c r="CC54" s="5">
        <v>4.3</v>
      </c>
      <c r="CD54" s="5">
        <v>415</v>
      </c>
      <c r="CE54" s="20">
        <v>15.4</v>
      </c>
      <c r="CF54" s="5">
        <v>49.65</v>
      </c>
      <c r="CG54" s="5">
        <v>1.08</v>
      </c>
      <c r="CH54" s="5">
        <v>17.989999999999998</v>
      </c>
      <c r="CI54" s="5">
        <v>9.51</v>
      </c>
      <c r="CJ54" s="5">
        <v>0.17</v>
      </c>
      <c r="CK54" s="5">
        <v>3.48</v>
      </c>
      <c r="CL54" s="5">
        <v>8.81</v>
      </c>
      <c r="CM54" s="5">
        <v>3.52</v>
      </c>
      <c r="CN54" s="5">
        <v>0.71</v>
      </c>
      <c r="CO54" s="5">
        <v>0.23</v>
      </c>
      <c r="CP54" s="5">
        <v>2077</v>
      </c>
      <c r="CQ54" s="5"/>
      <c r="CR54" s="5"/>
      <c r="CS54" s="5">
        <v>1036</v>
      </c>
      <c r="CT54" s="5">
        <v>3.58</v>
      </c>
      <c r="CU54" s="20">
        <v>354</v>
      </c>
      <c r="CV54" s="5">
        <v>2.48</v>
      </c>
      <c r="CW54" s="5">
        <v>0.05</v>
      </c>
      <c r="CX54" s="5">
        <v>0.9</v>
      </c>
      <c r="CY54" s="5">
        <v>0.48</v>
      </c>
      <c r="CZ54" s="5">
        <v>0.01</v>
      </c>
      <c r="DA54" s="5">
        <v>0.17</v>
      </c>
      <c r="DB54" s="5">
        <v>0.44</v>
      </c>
      <c r="DC54" s="5">
        <v>0.18</v>
      </c>
      <c r="DD54" s="5">
        <v>0.04</v>
      </c>
      <c r="DE54" s="5">
        <v>0.01</v>
      </c>
      <c r="DF54" s="5">
        <v>104</v>
      </c>
      <c r="DG54" s="5"/>
      <c r="DH54" s="5"/>
      <c r="DI54" s="5">
        <v>52</v>
      </c>
      <c r="DJ54" s="5">
        <v>0.18</v>
      </c>
      <c r="DK54" s="20">
        <v>18</v>
      </c>
      <c r="DL54" s="5"/>
      <c r="DM54" s="5"/>
      <c r="DN54" s="5"/>
      <c r="DO54" s="5"/>
      <c r="DP54" s="5"/>
      <c r="DQ54" s="20">
        <v>73.400000000000006</v>
      </c>
      <c r="DR54" s="5"/>
      <c r="DS54" s="5"/>
      <c r="DT54" s="5"/>
      <c r="DU54" s="5"/>
      <c r="DV54" s="5"/>
      <c r="DW54" s="20">
        <v>2</v>
      </c>
      <c r="DX54" s="5"/>
      <c r="DY54" s="5"/>
      <c r="DZ54" s="5"/>
      <c r="EA54" s="5"/>
      <c r="EB54" s="5">
        <v>92</v>
      </c>
      <c r="EC54" s="5"/>
      <c r="ED54" s="5"/>
      <c r="EE54" s="5"/>
      <c r="EF54" s="5"/>
      <c r="EG54" s="20"/>
      <c r="EH54" s="5"/>
      <c r="EI54" s="5"/>
      <c r="EJ54" s="5"/>
      <c r="EK54" s="5"/>
      <c r="EL54" s="5"/>
      <c r="EM54" s="21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4"/>
    </row>
    <row r="55" spans="1:181" ht="15" x14ac:dyDescent="0.2">
      <c r="A55" s="4" t="s">
        <v>392</v>
      </c>
      <c r="B55" s="4" t="s">
        <v>1</v>
      </c>
      <c r="C55" s="4" t="s">
        <v>2</v>
      </c>
      <c r="D55" s="4" t="s">
        <v>3</v>
      </c>
      <c r="E55" s="5" t="s">
        <v>3</v>
      </c>
      <c r="F55" s="5" t="s">
        <v>388</v>
      </c>
      <c r="G55" s="5">
        <v>0.2</v>
      </c>
      <c r="H55" s="5">
        <v>0.01</v>
      </c>
      <c r="I55" s="5"/>
      <c r="J55" s="20"/>
      <c r="K55" s="5">
        <v>48.54</v>
      </c>
      <c r="L55" s="5">
        <v>0.97</v>
      </c>
      <c r="M55" s="5">
        <v>19.04</v>
      </c>
      <c r="N55" s="5">
        <v>1.89</v>
      </c>
      <c r="O55" s="5">
        <v>7.1</v>
      </c>
      <c r="P55" s="5">
        <v>0.14000000000000001</v>
      </c>
      <c r="Q55" s="5">
        <v>4.21</v>
      </c>
      <c r="R55" s="5">
        <v>9.6199999999999992</v>
      </c>
      <c r="S55" s="5">
        <v>3.06</v>
      </c>
      <c r="T55" s="5">
        <v>0.6</v>
      </c>
      <c r="U55" s="5">
        <v>0.18</v>
      </c>
      <c r="V55" s="5">
        <v>2880</v>
      </c>
      <c r="W55" s="5">
        <v>1047</v>
      </c>
      <c r="X55" s="5">
        <v>4.2699999999999996</v>
      </c>
      <c r="Y55" s="5">
        <v>512</v>
      </c>
      <c r="Z55" s="20">
        <v>100.1</v>
      </c>
      <c r="AA55" s="5">
        <v>1016</v>
      </c>
      <c r="AB55" s="5">
        <v>1043</v>
      </c>
      <c r="AC55" s="5">
        <v>774</v>
      </c>
      <c r="AD55" s="5">
        <v>1016</v>
      </c>
      <c r="AE55" s="5">
        <v>1.3</v>
      </c>
      <c r="AF55" s="5">
        <v>0.32</v>
      </c>
      <c r="AG55" s="5">
        <v>297</v>
      </c>
      <c r="AH55" s="20">
        <v>11.3</v>
      </c>
      <c r="AI55" s="5">
        <v>2.3199999999999998</v>
      </c>
      <c r="AJ55" s="5">
        <v>0.05</v>
      </c>
      <c r="AK55" s="5">
        <v>1.18</v>
      </c>
      <c r="AL55" s="5">
        <v>0.14000000000000001</v>
      </c>
      <c r="AM55" s="5">
        <v>0.56999999999999995</v>
      </c>
      <c r="AN55" s="5">
        <v>0.01</v>
      </c>
      <c r="AO55" s="5">
        <v>0.82</v>
      </c>
      <c r="AP55" s="5">
        <v>0.52</v>
      </c>
      <c r="AQ55" s="5">
        <v>0.17</v>
      </c>
      <c r="AR55" s="5">
        <v>0.03</v>
      </c>
      <c r="AS55" s="5">
        <v>0.01</v>
      </c>
      <c r="AT55" s="5">
        <v>172</v>
      </c>
      <c r="AU55" s="5">
        <v>44</v>
      </c>
      <c r="AV55" s="5">
        <v>0.2</v>
      </c>
      <c r="AW55" s="5">
        <v>28</v>
      </c>
      <c r="AX55" s="5">
        <v>7</v>
      </c>
      <c r="AY55" s="5">
        <v>29</v>
      </c>
      <c r="AZ55" s="5">
        <v>193</v>
      </c>
      <c r="BA55" s="5">
        <v>15</v>
      </c>
      <c r="BB55" s="5">
        <v>2.4900000000000002</v>
      </c>
      <c r="BC55" s="5">
        <v>0</v>
      </c>
      <c r="BD55" s="5">
        <v>27</v>
      </c>
      <c r="BE55" s="20">
        <v>1</v>
      </c>
      <c r="BF55" s="5">
        <v>0.3</v>
      </c>
      <c r="BG55" s="5">
        <v>0.4</v>
      </c>
      <c r="BH55" s="5">
        <v>1.8</v>
      </c>
      <c r="BI55" s="5">
        <v>1.22</v>
      </c>
      <c r="BJ55" s="5"/>
      <c r="BK55" s="5"/>
      <c r="BL55" s="5"/>
      <c r="BM55" s="5">
        <v>743</v>
      </c>
      <c r="BN55" s="5">
        <v>325</v>
      </c>
      <c r="BO55" s="5">
        <v>1813</v>
      </c>
      <c r="BP55" s="5">
        <v>632</v>
      </c>
      <c r="BQ55" s="5"/>
      <c r="BR55" s="5"/>
      <c r="BS55" s="5">
        <v>323</v>
      </c>
      <c r="BT55" s="5">
        <v>59</v>
      </c>
      <c r="BU55" s="5">
        <v>477</v>
      </c>
      <c r="BV55" s="5">
        <v>109</v>
      </c>
      <c r="BW55" s="5"/>
      <c r="BX55" s="5"/>
      <c r="BY55" s="5">
        <v>12.2</v>
      </c>
      <c r="BZ55" s="5">
        <v>2</v>
      </c>
      <c r="CA55" s="5">
        <v>17.5</v>
      </c>
      <c r="CB55" s="20">
        <v>3.7</v>
      </c>
      <c r="CC55" s="5">
        <v>4.3</v>
      </c>
      <c r="CD55" s="5">
        <v>479</v>
      </c>
      <c r="CE55" s="20">
        <v>17.600000000000001</v>
      </c>
      <c r="CF55" s="5">
        <v>48.67</v>
      </c>
      <c r="CG55" s="5">
        <v>0.99</v>
      </c>
      <c r="CH55" s="5">
        <v>19.29</v>
      </c>
      <c r="CI55" s="5">
        <v>8.6300000000000008</v>
      </c>
      <c r="CJ55" s="5">
        <v>0.14000000000000001</v>
      </c>
      <c r="CK55" s="5">
        <v>3.75</v>
      </c>
      <c r="CL55" s="5">
        <v>9.74</v>
      </c>
      <c r="CM55" s="5">
        <v>3.1</v>
      </c>
      <c r="CN55" s="5">
        <v>0.61</v>
      </c>
      <c r="CO55" s="5">
        <v>0.19</v>
      </c>
      <c r="CP55" s="5">
        <v>2917</v>
      </c>
      <c r="CQ55" s="5"/>
      <c r="CR55" s="5"/>
      <c r="CS55" s="5">
        <v>1061</v>
      </c>
      <c r="CT55" s="5">
        <v>4.33</v>
      </c>
      <c r="CU55" s="20">
        <v>519</v>
      </c>
      <c r="CV55" s="5">
        <v>2.4300000000000002</v>
      </c>
      <c r="CW55" s="5">
        <v>0.05</v>
      </c>
      <c r="CX55" s="5">
        <v>0.96</v>
      </c>
      <c r="CY55" s="5">
        <v>0.43</v>
      </c>
      <c r="CZ55" s="5">
        <v>0.01</v>
      </c>
      <c r="DA55" s="5">
        <v>0.19</v>
      </c>
      <c r="DB55" s="5">
        <v>0.49</v>
      </c>
      <c r="DC55" s="5">
        <v>0.15</v>
      </c>
      <c r="DD55" s="5">
        <v>0.03</v>
      </c>
      <c r="DE55" s="5">
        <v>0.01</v>
      </c>
      <c r="DF55" s="5">
        <v>146</v>
      </c>
      <c r="DG55" s="5"/>
      <c r="DH55" s="5"/>
      <c r="DI55" s="5">
        <v>53</v>
      </c>
      <c r="DJ55" s="5">
        <v>0.22</v>
      </c>
      <c r="DK55" s="20">
        <v>26</v>
      </c>
      <c r="DL55" s="5"/>
      <c r="DM55" s="5"/>
      <c r="DN55" s="5"/>
      <c r="DO55" s="5"/>
      <c r="DP55" s="5"/>
      <c r="DQ55" s="20">
        <v>77</v>
      </c>
      <c r="DR55" s="5"/>
      <c r="DS55" s="5"/>
      <c r="DT55" s="5"/>
      <c r="DU55" s="5"/>
      <c r="DV55" s="5"/>
      <c r="DW55" s="20">
        <v>2</v>
      </c>
      <c r="DX55" s="5"/>
      <c r="DY55" s="5"/>
      <c r="DZ55" s="5"/>
      <c r="EA55" s="5"/>
      <c r="EB55" s="5">
        <v>106</v>
      </c>
      <c r="EC55" s="5"/>
      <c r="ED55" s="5"/>
      <c r="EE55" s="5"/>
      <c r="EF55" s="5"/>
      <c r="EG55" s="20"/>
      <c r="EH55" s="5"/>
      <c r="EI55" s="5"/>
      <c r="EJ55" s="5"/>
      <c r="EK55" s="5"/>
      <c r="EL55" s="5"/>
      <c r="EM55" s="21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4"/>
    </row>
    <row r="56" spans="1:181" ht="15" x14ac:dyDescent="0.2">
      <c r="A56" s="4" t="s">
        <v>393</v>
      </c>
      <c r="B56" s="4" t="s">
        <v>1</v>
      </c>
      <c r="C56" s="4" t="s">
        <v>2</v>
      </c>
      <c r="D56" s="4" t="s">
        <v>3</v>
      </c>
      <c r="E56" s="5" t="s">
        <v>3</v>
      </c>
      <c r="F56" s="5" t="s">
        <v>394</v>
      </c>
      <c r="G56" s="5">
        <v>0.2</v>
      </c>
      <c r="H56" s="5">
        <v>0.01</v>
      </c>
      <c r="I56" s="5"/>
      <c r="J56" s="20"/>
      <c r="K56" s="5">
        <v>52.01</v>
      </c>
      <c r="L56" s="5">
        <v>0.8</v>
      </c>
      <c r="M56" s="5">
        <v>18.11</v>
      </c>
      <c r="N56" s="5">
        <v>1.57</v>
      </c>
      <c r="O56" s="5">
        <v>7.66</v>
      </c>
      <c r="P56" s="5">
        <v>0.13</v>
      </c>
      <c r="Q56" s="5">
        <v>3.81</v>
      </c>
      <c r="R56" s="5">
        <v>8.7799999999999994</v>
      </c>
      <c r="S56" s="5">
        <v>3.74</v>
      </c>
      <c r="T56" s="5">
        <v>0.62</v>
      </c>
      <c r="U56" s="5">
        <v>0.2</v>
      </c>
      <c r="V56" s="5">
        <v>2718</v>
      </c>
      <c r="W56" s="5">
        <v>1074</v>
      </c>
      <c r="X56" s="5">
        <v>3.7</v>
      </c>
      <c r="Y56" s="5">
        <v>399</v>
      </c>
      <c r="Z56" s="20">
        <v>101.6</v>
      </c>
      <c r="AA56" s="5">
        <v>930</v>
      </c>
      <c r="AB56" s="5">
        <v>1049</v>
      </c>
      <c r="AC56" s="5">
        <v>678</v>
      </c>
      <c r="AD56" s="5">
        <v>930</v>
      </c>
      <c r="AE56" s="5">
        <v>7.4</v>
      </c>
      <c r="AF56" s="5">
        <v>0.32</v>
      </c>
      <c r="AG56" s="5">
        <v>278</v>
      </c>
      <c r="AH56" s="20">
        <v>10.7</v>
      </c>
      <c r="AI56" s="5">
        <v>2.27</v>
      </c>
      <c r="AJ56" s="5">
        <v>0.03</v>
      </c>
      <c r="AK56" s="5">
        <v>0.95</v>
      </c>
      <c r="AL56" s="5">
        <v>0.11</v>
      </c>
      <c r="AM56" s="5">
        <v>0.6</v>
      </c>
      <c r="AN56" s="5">
        <v>0.01</v>
      </c>
      <c r="AO56" s="5">
        <v>0.59</v>
      </c>
      <c r="AP56" s="5">
        <v>0.45</v>
      </c>
      <c r="AQ56" s="5">
        <v>0.26</v>
      </c>
      <c r="AR56" s="5">
        <v>0.03</v>
      </c>
      <c r="AS56" s="5">
        <v>0.01</v>
      </c>
      <c r="AT56" s="5">
        <v>164</v>
      </c>
      <c r="AU56" s="5">
        <v>56</v>
      </c>
      <c r="AV56" s="5">
        <v>0.2</v>
      </c>
      <c r="AW56" s="5">
        <v>25</v>
      </c>
      <c r="AX56" s="5">
        <v>6</v>
      </c>
      <c r="AY56" s="5">
        <v>23</v>
      </c>
      <c r="AZ56" s="5">
        <v>135</v>
      </c>
      <c r="BA56" s="5">
        <v>13</v>
      </c>
      <c r="BB56" s="5">
        <v>2.17</v>
      </c>
      <c r="BC56" s="5">
        <v>0.01</v>
      </c>
      <c r="BD56" s="5">
        <v>22</v>
      </c>
      <c r="BE56" s="20">
        <v>0.8</v>
      </c>
      <c r="BF56" s="5">
        <v>1.7</v>
      </c>
      <c r="BG56" s="5">
        <v>0.4</v>
      </c>
      <c r="BH56" s="5">
        <v>2.4</v>
      </c>
      <c r="BI56" s="5">
        <v>1.21</v>
      </c>
      <c r="BJ56" s="5"/>
      <c r="BK56" s="5"/>
      <c r="BL56" s="5"/>
      <c r="BM56" s="5">
        <v>1809</v>
      </c>
      <c r="BN56" s="5">
        <v>281</v>
      </c>
      <c r="BO56" s="5">
        <v>2007</v>
      </c>
      <c r="BP56" s="5">
        <v>503</v>
      </c>
      <c r="BQ56" s="5"/>
      <c r="BR56" s="5"/>
      <c r="BS56" s="5">
        <v>481</v>
      </c>
      <c r="BT56" s="5">
        <v>35</v>
      </c>
      <c r="BU56" s="5">
        <v>511</v>
      </c>
      <c r="BV56" s="5">
        <v>81</v>
      </c>
      <c r="BW56" s="5"/>
      <c r="BX56" s="5"/>
      <c r="BY56" s="5">
        <v>17.7</v>
      </c>
      <c r="BZ56" s="5">
        <v>1.2</v>
      </c>
      <c r="CA56" s="5">
        <v>18.7</v>
      </c>
      <c r="CB56" s="20">
        <v>2.8</v>
      </c>
      <c r="CC56" s="5">
        <v>4.4000000000000004</v>
      </c>
      <c r="CD56" s="5">
        <v>555</v>
      </c>
      <c r="CE56" s="20">
        <v>20.2</v>
      </c>
      <c r="CF56" s="5">
        <v>53.07</v>
      </c>
      <c r="CG56" s="5">
        <v>0.86</v>
      </c>
      <c r="CH56" s="5">
        <v>19.45</v>
      </c>
      <c r="CI56" s="5">
        <v>7.59</v>
      </c>
      <c r="CJ56" s="5">
        <v>0.14000000000000001</v>
      </c>
      <c r="CK56" s="5">
        <v>1.58</v>
      </c>
      <c r="CL56" s="5">
        <v>9.43</v>
      </c>
      <c r="CM56" s="5">
        <v>4.01</v>
      </c>
      <c r="CN56" s="5">
        <v>0.67</v>
      </c>
      <c r="CO56" s="5">
        <v>0.22</v>
      </c>
      <c r="CP56" s="5">
        <v>2918</v>
      </c>
      <c r="CQ56" s="5"/>
      <c r="CR56" s="5"/>
      <c r="CS56" s="5">
        <v>1153</v>
      </c>
      <c r="CT56" s="5">
        <v>3.97</v>
      </c>
      <c r="CU56" s="20">
        <v>428</v>
      </c>
      <c r="CV56" s="5">
        <v>2.65</v>
      </c>
      <c r="CW56" s="5">
        <v>0.04</v>
      </c>
      <c r="CX56" s="5">
        <v>0.97</v>
      </c>
      <c r="CY56" s="5">
        <v>0.38</v>
      </c>
      <c r="CZ56" s="5">
        <v>0.01</v>
      </c>
      <c r="DA56" s="5">
        <v>0.08</v>
      </c>
      <c r="DB56" s="5">
        <v>0.47</v>
      </c>
      <c r="DC56" s="5">
        <v>0.2</v>
      </c>
      <c r="DD56" s="5">
        <v>0.03</v>
      </c>
      <c r="DE56" s="5">
        <v>0.01</v>
      </c>
      <c r="DF56" s="5">
        <v>146</v>
      </c>
      <c r="DG56" s="5"/>
      <c r="DH56" s="5"/>
      <c r="DI56" s="5">
        <v>58</v>
      </c>
      <c r="DJ56" s="5">
        <v>0.2</v>
      </c>
      <c r="DK56" s="20">
        <v>21</v>
      </c>
      <c r="DL56" s="5"/>
      <c r="DM56" s="5"/>
      <c r="DN56" s="5"/>
      <c r="DO56" s="5"/>
      <c r="DP56" s="5"/>
      <c r="DQ56" s="20">
        <v>73.7</v>
      </c>
      <c r="DR56" s="5"/>
      <c r="DS56" s="5"/>
      <c r="DT56" s="5"/>
      <c r="DU56" s="5"/>
      <c r="DV56" s="5"/>
      <c r="DW56" s="20">
        <v>2</v>
      </c>
      <c r="DX56" s="5"/>
      <c r="DY56" s="5"/>
      <c r="DZ56" s="5"/>
      <c r="EA56" s="5"/>
      <c r="EB56" s="5">
        <v>41</v>
      </c>
      <c r="EC56" s="5"/>
      <c r="ED56" s="5"/>
      <c r="EE56" s="5"/>
      <c r="EF56" s="5"/>
      <c r="EG56" s="20"/>
      <c r="EH56" s="5"/>
      <c r="EI56" s="5"/>
      <c r="EJ56" s="5"/>
      <c r="EK56" s="5"/>
      <c r="EL56" s="5"/>
      <c r="EM56" s="21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4"/>
    </row>
    <row r="57" spans="1:181" ht="15" x14ac:dyDescent="0.2">
      <c r="A57" s="4" t="s">
        <v>395</v>
      </c>
      <c r="B57" s="4" t="s">
        <v>1</v>
      </c>
      <c r="C57" s="4" t="s">
        <v>2</v>
      </c>
      <c r="D57" s="4" t="s">
        <v>3</v>
      </c>
      <c r="E57" s="5" t="s">
        <v>3</v>
      </c>
      <c r="F57" s="5" t="s">
        <v>394</v>
      </c>
      <c r="G57" s="5">
        <v>0.2</v>
      </c>
      <c r="H57" s="5">
        <v>0.01</v>
      </c>
      <c r="I57" s="5"/>
      <c r="J57" s="20"/>
      <c r="K57" s="5">
        <v>48.07</v>
      </c>
      <c r="L57" s="5">
        <v>1.1200000000000001</v>
      </c>
      <c r="M57" s="5">
        <v>18.809999999999999</v>
      </c>
      <c r="N57" s="5">
        <v>1.66</v>
      </c>
      <c r="O57" s="5">
        <v>7.62</v>
      </c>
      <c r="P57" s="5">
        <v>0.11</v>
      </c>
      <c r="Q57" s="5">
        <v>4.59</v>
      </c>
      <c r="R57" s="5">
        <v>9.33</v>
      </c>
      <c r="S57" s="5">
        <v>3.13</v>
      </c>
      <c r="T57" s="5">
        <v>0.56999999999999995</v>
      </c>
      <c r="U57" s="5">
        <v>0.19</v>
      </c>
      <c r="V57" s="5">
        <v>2477</v>
      </c>
      <c r="W57" s="5">
        <v>1043</v>
      </c>
      <c r="X57" s="5">
        <v>3.44</v>
      </c>
      <c r="Y57" s="5">
        <v>408</v>
      </c>
      <c r="Z57" s="20">
        <v>99</v>
      </c>
      <c r="AA57" s="5">
        <v>962</v>
      </c>
      <c r="AB57" s="5">
        <v>1068</v>
      </c>
      <c r="AC57" s="5">
        <v>714</v>
      </c>
      <c r="AD57" s="5">
        <v>962</v>
      </c>
      <c r="AE57" s="5">
        <v>7.1</v>
      </c>
      <c r="AF57" s="5">
        <v>0.31</v>
      </c>
      <c r="AG57" s="5">
        <v>245</v>
      </c>
      <c r="AH57" s="20">
        <v>9.5</v>
      </c>
      <c r="AI57" s="5">
        <v>2.25</v>
      </c>
      <c r="AJ57" s="5">
        <v>0.06</v>
      </c>
      <c r="AK57" s="5">
        <v>1.1000000000000001</v>
      </c>
      <c r="AL57" s="5">
        <v>0.1</v>
      </c>
      <c r="AM57" s="5">
        <v>0.48</v>
      </c>
      <c r="AN57" s="5">
        <v>0.01</v>
      </c>
      <c r="AO57" s="5">
        <v>0.79</v>
      </c>
      <c r="AP57" s="5">
        <v>0.5</v>
      </c>
      <c r="AQ57" s="5">
        <v>0.23</v>
      </c>
      <c r="AR57" s="5">
        <v>0.03</v>
      </c>
      <c r="AS57" s="5">
        <v>0.01</v>
      </c>
      <c r="AT57" s="5">
        <v>147</v>
      </c>
      <c r="AU57" s="5">
        <v>60</v>
      </c>
      <c r="AV57" s="5">
        <v>0.2</v>
      </c>
      <c r="AW57" s="5">
        <v>19</v>
      </c>
      <c r="AX57" s="5">
        <v>6</v>
      </c>
      <c r="AY57" s="5">
        <v>27</v>
      </c>
      <c r="AZ57" s="5">
        <v>177</v>
      </c>
      <c r="BA57" s="5">
        <v>13</v>
      </c>
      <c r="BB57" s="5">
        <v>2.29</v>
      </c>
      <c r="BC57" s="5">
        <v>0.01</v>
      </c>
      <c r="BD57" s="5">
        <v>16</v>
      </c>
      <c r="BE57" s="20">
        <v>0.6</v>
      </c>
      <c r="BF57" s="5">
        <v>1.6</v>
      </c>
      <c r="BG57" s="5">
        <v>0.4</v>
      </c>
      <c r="BH57" s="5">
        <v>2.2000000000000002</v>
      </c>
      <c r="BI57" s="5">
        <v>1.38</v>
      </c>
      <c r="BJ57" s="5"/>
      <c r="BK57" s="5"/>
      <c r="BL57" s="5"/>
      <c r="BM57" s="5">
        <v>1682</v>
      </c>
      <c r="BN57" s="5">
        <v>424</v>
      </c>
      <c r="BO57" s="5">
        <v>2083</v>
      </c>
      <c r="BP57" s="5">
        <v>650</v>
      </c>
      <c r="BQ57" s="5"/>
      <c r="BR57" s="5"/>
      <c r="BS57" s="5">
        <v>367</v>
      </c>
      <c r="BT57" s="5">
        <v>90</v>
      </c>
      <c r="BU57" s="5">
        <v>414</v>
      </c>
      <c r="BV57" s="5">
        <v>103</v>
      </c>
      <c r="BW57" s="5"/>
      <c r="BX57" s="5"/>
      <c r="BY57" s="5">
        <v>13.7</v>
      </c>
      <c r="BZ57" s="5">
        <v>3.1</v>
      </c>
      <c r="CA57" s="5">
        <v>15.4</v>
      </c>
      <c r="CB57" s="20">
        <v>3.5</v>
      </c>
      <c r="CC57" s="5">
        <v>4.2</v>
      </c>
      <c r="CD57" s="5">
        <v>466</v>
      </c>
      <c r="CE57" s="20">
        <v>17.100000000000001</v>
      </c>
      <c r="CF57" s="5">
        <v>48.84</v>
      </c>
      <c r="CG57" s="5">
        <v>1.2</v>
      </c>
      <c r="CH57" s="5">
        <v>20.170000000000002</v>
      </c>
      <c r="CI57" s="5">
        <v>8</v>
      </c>
      <c r="CJ57" s="5">
        <v>0.12</v>
      </c>
      <c r="CK57" s="5">
        <v>2.27</v>
      </c>
      <c r="CL57" s="5">
        <v>10</v>
      </c>
      <c r="CM57" s="5">
        <v>3.36</v>
      </c>
      <c r="CN57" s="5">
        <v>0.61</v>
      </c>
      <c r="CO57" s="5">
        <v>0.2</v>
      </c>
      <c r="CP57" s="5">
        <v>2657</v>
      </c>
      <c r="CQ57" s="5"/>
      <c r="CR57" s="5"/>
      <c r="CS57" s="5">
        <v>1119</v>
      </c>
      <c r="CT57" s="5">
        <v>3.69</v>
      </c>
      <c r="CU57" s="20">
        <v>438</v>
      </c>
      <c r="CV57" s="5">
        <v>2.44</v>
      </c>
      <c r="CW57" s="5">
        <v>0.06</v>
      </c>
      <c r="CX57" s="5">
        <v>1.01</v>
      </c>
      <c r="CY57" s="5">
        <v>0.4</v>
      </c>
      <c r="CZ57" s="5">
        <v>0.01</v>
      </c>
      <c r="DA57" s="5">
        <v>0.11</v>
      </c>
      <c r="DB57" s="5">
        <v>0.5</v>
      </c>
      <c r="DC57" s="5">
        <v>0.17</v>
      </c>
      <c r="DD57" s="5">
        <v>0.03</v>
      </c>
      <c r="DE57" s="5">
        <v>0.01</v>
      </c>
      <c r="DF57" s="5">
        <v>133</v>
      </c>
      <c r="DG57" s="5"/>
      <c r="DH57" s="5"/>
      <c r="DI57" s="5">
        <v>56</v>
      </c>
      <c r="DJ57" s="5">
        <v>0.18</v>
      </c>
      <c r="DK57" s="20">
        <v>22</v>
      </c>
      <c r="DL57" s="5"/>
      <c r="DM57" s="5"/>
      <c r="DN57" s="5"/>
      <c r="DO57" s="5"/>
      <c r="DP57" s="5"/>
      <c r="DQ57" s="20">
        <v>77.400000000000006</v>
      </c>
      <c r="DR57" s="5"/>
      <c r="DS57" s="5"/>
      <c r="DT57" s="5"/>
      <c r="DU57" s="5"/>
      <c r="DV57" s="5"/>
      <c r="DW57" s="20">
        <v>2</v>
      </c>
      <c r="DX57" s="5"/>
      <c r="DY57" s="5"/>
      <c r="DZ57" s="5"/>
      <c r="EA57" s="5"/>
      <c r="EB57" s="5">
        <v>39</v>
      </c>
      <c r="EC57" s="5"/>
      <c r="ED57" s="5"/>
      <c r="EE57" s="5"/>
      <c r="EF57" s="5"/>
      <c r="EG57" s="20"/>
      <c r="EH57" s="5"/>
      <c r="EI57" s="5"/>
      <c r="EJ57" s="5"/>
      <c r="EK57" s="5"/>
      <c r="EL57" s="5"/>
      <c r="EM57" s="21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4"/>
    </row>
    <row r="58" spans="1:181" ht="15" x14ac:dyDescent="0.2">
      <c r="A58" s="4" t="s">
        <v>396</v>
      </c>
      <c r="B58" s="4" t="s">
        <v>1</v>
      </c>
      <c r="C58" s="4" t="s">
        <v>2</v>
      </c>
      <c r="D58" s="4" t="s">
        <v>3</v>
      </c>
      <c r="E58" s="5" t="s">
        <v>3</v>
      </c>
      <c r="F58" s="5" t="s">
        <v>394</v>
      </c>
      <c r="G58" s="5">
        <v>0.2</v>
      </c>
      <c r="H58" s="5">
        <v>0.01</v>
      </c>
      <c r="I58" s="5"/>
      <c r="J58" s="20"/>
      <c r="K58" s="5">
        <v>52.46</v>
      </c>
      <c r="L58" s="5">
        <v>0.9</v>
      </c>
      <c r="M58" s="5">
        <v>19.28</v>
      </c>
      <c r="N58" s="5">
        <v>1.29</v>
      </c>
      <c r="O58" s="5">
        <v>6</v>
      </c>
      <c r="P58" s="5">
        <v>0.12</v>
      </c>
      <c r="Q58" s="5">
        <v>3.49</v>
      </c>
      <c r="R58" s="5">
        <v>9</v>
      </c>
      <c r="S58" s="5">
        <v>3.82</v>
      </c>
      <c r="T58" s="5">
        <v>0.7</v>
      </c>
      <c r="U58" s="5">
        <v>0.17</v>
      </c>
      <c r="V58" s="5">
        <v>2721</v>
      </c>
      <c r="W58" s="5">
        <v>1066</v>
      </c>
      <c r="X58" s="5">
        <v>3.64</v>
      </c>
      <c r="Y58" s="5">
        <v>746</v>
      </c>
      <c r="Z58" s="20">
        <v>101.3</v>
      </c>
      <c r="AA58" s="5">
        <v>935</v>
      </c>
      <c r="AB58" s="5">
        <v>1035</v>
      </c>
      <c r="AC58" s="5">
        <v>683</v>
      </c>
      <c r="AD58" s="5">
        <v>935</v>
      </c>
      <c r="AE58" s="5">
        <v>5.5</v>
      </c>
      <c r="AF58" s="5">
        <v>0.31</v>
      </c>
      <c r="AG58" s="5">
        <v>340</v>
      </c>
      <c r="AH58" s="20">
        <v>12.8</v>
      </c>
      <c r="AI58" s="5">
        <v>2.54</v>
      </c>
      <c r="AJ58" s="5">
        <v>0.04</v>
      </c>
      <c r="AK58" s="5">
        <v>0.9</v>
      </c>
      <c r="AL58" s="5">
        <v>0.09</v>
      </c>
      <c r="AM58" s="5">
        <v>0.53</v>
      </c>
      <c r="AN58" s="5">
        <v>0.01</v>
      </c>
      <c r="AO58" s="5">
        <v>0.68</v>
      </c>
      <c r="AP58" s="5">
        <v>0.56999999999999995</v>
      </c>
      <c r="AQ58" s="5">
        <v>0.23</v>
      </c>
      <c r="AR58" s="5">
        <v>0.04</v>
      </c>
      <c r="AS58" s="5">
        <v>0.01</v>
      </c>
      <c r="AT58" s="5">
        <v>131</v>
      </c>
      <c r="AU58" s="5">
        <v>45</v>
      </c>
      <c r="AV58" s="5">
        <v>0.2</v>
      </c>
      <c r="AW58" s="5">
        <v>44</v>
      </c>
      <c r="AX58" s="5">
        <v>5</v>
      </c>
      <c r="AY58" s="5">
        <v>30</v>
      </c>
      <c r="AZ58" s="5">
        <v>119</v>
      </c>
      <c r="BA58" s="5">
        <v>13</v>
      </c>
      <c r="BB58" s="5">
        <v>2.15</v>
      </c>
      <c r="BC58" s="5">
        <v>0.01</v>
      </c>
      <c r="BD58" s="5">
        <v>16</v>
      </c>
      <c r="BE58" s="20">
        <v>0.6</v>
      </c>
      <c r="BF58" s="5">
        <v>1.4</v>
      </c>
      <c r="BG58" s="5">
        <v>0.4</v>
      </c>
      <c r="BH58" s="5">
        <v>1.8</v>
      </c>
      <c r="BI58" s="5">
        <v>0.76</v>
      </c>
      <c r="BJ58" s="5"/>
      <c r="BK58" s="5"/>
      <c r="BL58" s="5"/>
      <c r="BM58" s="5">
        <v>2572</v>
      </c>
      <c r="BN58" s="5">
        <v>539</v>
      </c>
      <c r="BO58" s="5">
        <v>2792</v>
      </c>
      <c r="BP58" s="5">
        <v>628</v>
      </c>
      <c r="BQ58" s="5"/>
      <c r="BR58" s="5"/>
      <c r="BS58" s="5">
        <v>589</v>
      </c>
      <c r="BT58" s="5">
        <v>66</v>
      </c>
      <c r="BU58" s="5">
        <v>618</v>
      </c>
      <c r="BV58" s="5">
        <v>88</v>
      </c>
      <c r="BW58" s="5"/>
      <c r="BX58" s="5"/>
      <c r="BY58" s="5">
        <v>21.4</v>
      </c>
      <c r="BZ58" s="5">
        <v>2.2000000000000002</v>
      </c>
      <c r="CA58" s="5">
        <v>22.3</v>
      </c>
      <c r="CB58" s="20">
        <v>3</v>
      </c>
      <c r="CC58" s="5">
        <v>4</v>
      </c>
      <c r="CD58" s="5">
        <v>642</v>
      </c>
      <c r="CE58" s="20">
        <v>23.2</v>
      </c>
      <c r="CF58" s="5">
        <v>53.24</v>
      </c>
      <c r="CG58" s="5">
        <v>0.95</v>
      </c>
      <c r="CH58" s="5">
        <v>20.329999999999998</v>
      </c>
      <c r="CI58" s="5">
        <v>6.14</v>
      </c>
      <c r="CJ58" s="5">
        <v>0.13</v>
      </c>
      <c r="CK58" s="5">
        <v>1.66</v>
      </c>
      <c r="CL58" s="5">
        <v>9.49</v>
      </c>
      <c r="CM58" s="5">
        <v>4.03</v>
      </c>
      <c r="CN58" s="5">
        <v>0.74</v>
      </c>
      <c r="CO58" s="5">
        <v>0.18</v>
      </c>
      <c r="CP58" s="5">
        <v>2871</v>
      </c>
      <c r="CQ58" s="5"/>
      <c r="CR58" s="5"/>
      <c r="CS58" s="5">
        <v>1125</v>
      </c>
      <c r="CT58" s="5">
        <v>3.84</v>
      </c>
      <c r="CU58" s="20">
        <v>786</v>
      </c>
      <c r="CV58" s="5">
        <v>2.66</v>
      </c>
      <c r="CW58" s="5">
        <v>0.05</v>
      </c>
      <c r="CX58" s="5">
        <v>1.02</v>
      </c>
      <c r="CY58" s="5">
        <v>0.31</v>
      </c>
      <c r="CZ58" s="5">
        <v>0.01</v>
      </c>
      <c r="DA58" s="5">
        <v>0.08</v>
      </c>
      <c r="DB58" s="5">
        <v>0.47</v>
      </c>
      <c r="DC58" s="5">
        <v>0.2</v>
      </c>
      <c r="DD58" s="5">
        <v>0.04</v>
      </c>
      <c r="DE58" s="5">
        <v>0.01</v>
      </c>
      <c r="DF58" s="5">
        <v>144</v>
      </c>
      <c r="DG58" s="5"/>
      <c r="DH58" s="5"/>
      <c r="DI58" s="5">
        <v>56</v>
      </c>
      <c r="DJ58" s="5">
        <v>0.19</v>
      </c>
      <c r="DK58" s="20">
        <v>39</v>
      </c>
      <c r="DL58" s="5"/>
      <c r="DM58" s="5"/>
      <c r="DN58" s="5"/>
      <c r="DO58" s="5"/>
      <c r="DP58" s="5"/>
      <c r="DQ58" s="20">
        <v>77.099999999999994</v>
      </c>
      <c r="DR58" s="5"/>
      <c r="DS58" s="5"/>
      <c r="DT58" s="5"/>
      <c r="DU58" s="5"/>
      <c r="DV58" s="5"/>
      <c r="DW58" s="20">
        <v>2</v>
      </c>
      <c r="DX58" s="5"/>
      <c r="DY58" s="5"/>
      <c r="DZ58" s="5"/>
      <c r="EA58" s="5"/>
      <c r="EB58" s="5">
        <v>46</v>
      </c>
      <c r="EC58" s="5"/>
      <c r="ED58" s="5"/>
      <c r="EE58" s="5"/>
      <c r="EF58" s="5"/>
      <c r="EG58" s="20"/>
      <c r="EH58" s="5"/>
      <c r="EI58" s="5"/>
      <c r="EJ58" s="5"/>
      <c r="EK58" s="5"/>
      <c r="EL58" s="5"/>
      <c r="EM58" s="21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4"/>
    </row>
    <row r="59" spans="1:181" ht="15" x14ac:dyDescent="0.2">
      <c r="A59" s="4" t="s">
        <v>397</v>
      </c>
      <c r="B59" s="4" t="s">
        <v>1</v>
      </c>
      <c r="C59" s="4" t="s">
        <v>2</v>
      </c>
      <c r="D59" s="4" t="s">
        <v>3</v>
      </c>
      <c r="E59" s="5" t="s">
        <v>3</v>
      </c>
      <c r="F59" s="5" t="s">
        <v>394</v>
      </c>
      <c r="G59" s="5">
        <v>0.2</v>
      </c>
      <c r="H59" s="5">
        <v>0.01</v>
      </c>
      <c r="I59" s="5"/>
      <c r="J59" s="20"/>
      <c r="K59" s="5">
        <v>50.5</v>
      </c>
      <c r="L59" s="5">
        <v>1.0900000000000001</v>
      </c>
      <c r="M59" s="5">
        <v>17.149999999999999</v>
      </c>
      <c r="N59" s="5">
        <v>1.52</v>
      </c>
      <c r="O59" s="5">
        <v>7.33</v>
      </c>
      <c r="P59" s="5">
        <v>0.13</v>
      </c>
      <c r="Q59" s="5">
        <v>3.38</v>
      </c>
      <c r="R59" s="5">
        <v>7.99</v>
      </c>
      <c r="S59" s="5">
        <v>3.75</v>
      </c>
      <c r="T59" s="5">
        <v>0.82</v>
      </c>
      <c r="U59" s="5">
        <v>0.27</v>
      </c>
      <c r="V59" s="5">
        <v>2396</v>
      </c>
      <c r="W59" s="5">
        <v>1440</v>
      </c>
      <c r="X59" s="5">
        <v>3.91</v>
      </c>
      <c r="Y59" s="5">
        <v>696</v>
      </c>
      <c r="Z59" s="20">
        <v>98.3</v>
      </c>
      <c r="AA59" s="5">
        <v>943</v>
      </c>
      <c r="AB59" s="5">
        <v>1044</v>
      </c>
      <c r="AC59" s="5">
        <v>702</v>
      </c>
      <c r="AD59" s="5">
        <v>943</v>
      </c>
      <c r="AE59" s="5">
        <v>6.5</v>
      </c>
      <c r="AF59" s="5">
        <v>0.32</v>
      </c>
      <c r="AG59" s="5">
        <v>357</v>
      </c>
      <c r="AH59" s="20">
        <v>13.4</v>
      </c>
      <c r="AI59" s="5">
        <v>2.0099999999999998</v>
      </c>
      <c r="AJ59" s="5">
        <v>0.06</v>
      </c>
      <c r="AK59" s="5">
        <v>0.68</v>
      </c>
      <c r="AL59" s="5">
        <v>0.09</v>
      </c>
      <c r="AM59" s="5">
        <v>0.54</v>
      </c>
      <c r="AN59" s="5">
        <v>0.01</v>
      </c>
      <c r="AO59" s="5">
        <v>0.47</v>
      </c>
      <c r="AP59" s="5">
        <v>0.51</v>
      </c>
      <c r="AQ59" s="5">
        <v>0.21</v>
      </c>
      <c r="AR59" s="5">
        <v>0.04</v>
      </c>
      <c r="AS59" s="5">
        <v>0.02</v>
      </c>
      <c r="AT59" s="5">
        <v>123</v>
      </c>
      <c r="AU59" s="5">
        <v>72</v>
      </c>
      <c r="AV59" s="5">
        <v>0.2</v>
      </c>
      <c r="AW59" s="5">
        <v>35</v>
      </c>
      <c r="AX59" s="5">
        <v>8</v>
      </c>
      <c r="AY59" s="5">
        <v>21</v>
      </c>
      <c r="AZ59" s="5">
        <v>146</v>
      </c>
      <c r="BA59" s="5">
        <v>10</v>
      </c>
      <c r="BB59" s="5">
        <v>1.72</v>
      </c>
      <c r="BC59" s="5">
        <v>0</v>
      </c>
      <c r="BD59" s="5">
        <v>25</v>
      </c>
      <c r="BE59" s="20">
        <v>0.8</v>
      </c>
      <c r="BF59" s="5">
        <v>1.4</v>
      </c>
      <c r="BG59" s="5">
        <v>0.3</v>
      </c>
      <c r="BH59" s="5">
        <v>2.1</v>
      </c>
      <c r="BI59" s="5">
        <v>1.41</v>
      </c>
      <c r="BJ59" s="5"/>
      <c r="BK59" s="5"/>
      <c r="BL59" s="5"/>
      <c r="BM59" s="5">
        <v>2361</v>
      </c>
      <c r="BN59" s="5">
        <v>419</v>
      </c>
      <c r="BO59" s="5">
        <v>2792</v>
      </c>
      <c r="BP59" s="5">
        <v>785</v>
      </c>
      <c r="BQ59" s="5"/>
      <c r="BR59" s="5"/>
      <c r="BS59" s="5">
        <v>576</v>
      </c>
      <c r="BT59" s="5">
        <v>66</v>
      </c>
      <c r="BU59" s="5">
        <v>633</v>
      </c>
      <c r="BV59" s="5">
        <v>114</v>
      </c>
      <c r="BW59" s="5"/>
      <c r="BX59" s="5"/>
      <c r="BY59" s="5">
        <v>20.9</v>
      </c>
      <c r="BZ59" s="5">
        <v>2.2999999999999998</v>
      </c>
      <c r="CA59" s="5">
        <v>22.9</v>
      </c>
      <c r="CB59" s="20">
        <v>3.9</v>
      </c>
      <c r="CC59" s="5">
        <v>4</v>
      </c>
      <c r="CD59" s="5">
        <v>641</v>
      </c>
      <c r="CE59" s="20">
        <v>23.1</v>
      </c>
      <c r="CF59" s="5">
        <v>51.44</v>
      </c>
      <c r="CG59" s="5">
        <v>1.1599999999999999</v>
      </c>
      <c r="CH59" s="5">
        <v>18.28</v>
      </c>
      <c r="CI59" s="5">
        <v>7.31</v>
      </c>
      <c r="CJ59" s="5">
        <v>0.14000000000000001</v>
      </c>
      <c r="CK59" s="5">
        <v>1.5</v>
      </c>
      <c r="CL59" s="5">
        <v>8.52</v>
      </c>
      <c r="CM59" s="5">
        <v>3.99</v>
      </c>
      <c r="CN59" s="5">
        <v>0.87</v>
      </c>
      <c r="CO59" s="5">
        <v>0.28999999999999998</v>
      </c>
      <c r="CP59" s="5">
        <v>2554</v>
      </c>
      <c r="CQ59" s="5"/>
      <c r="CR59" s="5"/>
      <c r="CS59" s="5">
        <v>1536</v>
      </c>
      <c r="CT59" s="5">
        <v>4.17</v>
      </c>
      <c r="CU59" s="20">
        <v>742</v>
      </c>
      <c r="CV59" s="5">
        <v>2.57</v>
      </c>
      <c r="CW59" s="5">
        <v>0.06</v>
      </c>
      <c r="CX59" s="5">
        <v>0.91</v>
      </c>
      <c r="CY59" s="5">
        <v>0.37</v>
      </c>
      <c r="CZ59" s="5">
        <v>0.01</v>
      </c>
      <c r="DA59" s="5">
        <v>7.0000000000000007E-2</v>
      </c>
      <c r="DB59" s="5">
        <v>0.43</v>
      </c>
      <c r="DC59" s="5">
        <v>0.2</v>
      </c>
      <c r="DD59" s="5">
        <v>0.04</v>
      </c>
      <c r="DE59" s="5">
        <v>0.01</v>
      </c>
      <c r="DF59" s="5">
        <v>128</v>
      </c>
      <c r="DG59" s="5"/>
      <c r="DH59" s="5"/>
      <c r="DI59" s="5">
        <v>77</v>
      </c>
      <c r="DJ59" s="5">
        <v>0.21</v>
      </c>
      <c r="DK59" s="20">
        <v>37</v>
      </c>
      <c r="DL59" s="5"/>
      <c r="DM59" s="5"/>
      <c r="DN59" s="5"/>
      <c r="DO59" s="5"/>
      <c r="DP59" s="5"/>
      <c r="DQ59" s="20">
        <v>72.099999999999994</v>
      </c>
      <c r="DR59" s="5"/>
      <c r="DS59" s="5"/>
      <c r="DT59" s="5"/>
      <c r="DU59" s="5"/>
      <c r="DV59" s="5"/>
      <c r="DW59" s="20">
        <v>2</v>
      </c>
      <c r="DX59" s="5"/>
      <c r="DY59" s="5"/>
      <c r="DZ59" s="5"/>
      <c r="EA59" s="5"/>
      <c r="EB59" s="5">
        <v>38</v>
      </c>
      <c r="EC59" s="5"/>
      <c r="ED59" s="5"/>
      <c r="EE59" s="5"/>
      <c r="EF59" s="5"/>
      <c r="EG59" s="20"/>
      <c r="EH59" s="5"/>
      <c r="EI59" s="5"/>
      <c r="EJ59" s="5"/>
      <c r="EK59" s="5"/>
      <c r="EL59" s="5"/>
      <c r="EM59" s="21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4"/>
    </row>
    <row r="60" spans="1:181" ht="15" x14ac:dyDescent="0.2">
      <c r="A60" s="4" t="s">
        <v>398</v>
      </c>
      <c r="B60" s="4" t="s">
        <v>1</v>
      </c>
      <c r="C60" s="4" t="s">
        <v>2</v>
      </c>
      <c r="D60" s="4" t="s">
        <v>3</v>
      </c>
      <c r="E60" s="5" t="s">
        <v>3</v>
      </c>
      <c r="F60" s="5" t="s">
        <v>399</v>
      </c>
      <c r="G60" s="5">
        <v>0.2</v>
      </c>
      <c r="H60" s="5">
        <v>0.01</v>
      </c>
      <c r="I60" s="5"/>
      <c r="J60" s="20"/>
      <c r="K60" s="5">
        <v>52.77</v>
      </c>
      <c r="L60" s="5">
        <v>1.2</v>
      </c>
      <c r="M60" s="5">
        <v>17.04</v>
      </c>
      <c r="N60" s="5">
        <v>2.11</v>
      </c>
      <c r="O60" s="5">
        <v>8.49</v>
      </c>
      <c r="P60" s="5">
        <v>0.16</v>
      </c>
      <c r="Q60" s="5">
        <v>4.1900000000000004</v>
      </c>
      <c r="R60" s="5">
        <v>7.72</v>
      </c>
      <c r="S60" s="5">
        <v>3.74</v>
      </c>
      <c r="T60" s="5">
        <v>0.81</v>
      </c>
      <c r="U60" s="5">
        <v>0.23</v>
      </c>
      <c r="V60" s="5">
        <v>1675</v>
      </c>
      <c r="W60" s="5">
        <v>1172</v>
      </c>
      <c r="X60" s="5">
        <v>3.44</v>
      </c>
      <c r="Y60" s="5">
        <v>334</v>
      </c>
      <c r="Z60" s="20">
        <v>102.2</v>
      </c>
      <c r="AA60" s="5">
        <v>1011</v>
      </c>
      <c r="AB60" s="5">
        <v>1063</v>
      </c>
      <c r="AC60" s="5">
        <v>793</v>
      </c>
      <c r="AD60" s="5">
        <v>1011</v>
      </c>
      <c r="AE60" s="5">
        <v>3.5</v>
      </c>
      <c r="AF60" s="5">
        <v>0.32</v>
      </c>
      <c r="AG60" s="5">
        <v>212</v>
      </c>
      <c r="AH60" s="20">
        <v>8.3000000000000007</v>
      </c>
      <c r="AI60" s="5">
        <v>1.85</v>
      </c>
      <c r="AJ60" s="5">
        <v>0.08</v>
      </c>
      <c r="AK60" s="5">
        <v>0.96</v>
      </c>
      <c r="AL60" s="5">
        <v>0.14000000000000001</v>
      </c>
      <c r="AM60" s="5">
        <v>0.79</v>
      </c>
      <c r="AN60" s="5">
        <v>0.01</v>
      </c>
      <c r="AO60" s="5">
        <v>0.62</v>
      </c>
      <c r="AP60" s="5">
        <v>0.4</v>
      </c>
      <c r="AQ60" s="5">
        <v>0.22</v>
      </c>
      <c r="AR60" s="5">
        <v>0.05</v>
      </c>
      <c r="AS60" s="5">
        <v>0.01</v>
      </c>
      <c r="AT60" s="5">
        <v>80</v>
      </c>
      <c r="AU60" s="5">
        <v>66</v>
      </c>
      <c r="AV60" s="5">
        <v>0.2</v>
      </c>
      <c r="AW60" s="5">
        <v>16</v>
      </c>
      <c r="AX60" s="5">
        <v>7</v>
      </c>
      <c r="AY60" s="5">
        <v>25</v>
      </c>
      <c r="AZ60" s="5">
        <v>202</v>
      </c>
      <c r="BA60" s="5">
        <v>11</v>
      </c>
      <c r="BB60" s="5">
        <v>2.71</v>
      </c>
      <c r="BC60" s="5">
        <v>0</v>
      </c>
      <c r="BD60" s="5">
        <v>13</v>
      </c>
      <c r="BE60" s="20">
        <v>0.5</v>
      </c>
      <c r="BF60" s="5">
        <v>0.7</v>
      </c>
      <c r="BG60" s="5">
        <v>0.4</v>
      </c>
      <c r="BH60" s="5">
        <v>1.2</v>
      </c>
      <c r="BI60" s="5">
        <v>0.82</v>
      </c>
      <c r="BJ60" s="5"/>
      <c r="BK60" s="5"/>
      <c r="BL60" s="5"/>
      <c r="BM60" s="5">
        <v>860</v>
      </c>
      <c r="BN60" s="5">
        <v>304</v>
      </c>
      <c r="BO60" s="5">
        <v>1200</v>
      </c>
      <c r="BP60" s="5">
        <v>494</v>
      </c>
      <c r="BQ60" s="5"/>
      <c r="BR60" s="5"/>
      <c r="BS60" s="5">
        <v>302</v>
      </c>
      <c r="BT60" s="5">
        <v>48</v>
      </c>
      <c r="BU60" s="5">
        <v>363</v>
      </c>
      <c r="BV60" s="5">
        <v>84</v>
      </c>
      <c r="BW60" s="5"/>
      <c r="BX60" s="5"/>
      <c r="BY60" s="5">
        <v>11.5</v>
      </c>
      <c r="BZ60" s="5">
        <v>1.7</v>
      </c>
      <c r="CA60" s="5">
        <v>13.6</v>
      </c>
      <c r="CB60" s="20">
        <v>2.9</v>
      </c>
      <c r="CC60" s="5">
        <v>3.6</v>
      </c>
      <c r="CD60" s="5">
        <v>377</v>
      </c>
      <c r="CE60" s="20">
        <v>14.1</v>
      </c>
      <c r="CF60" s="5">
        <v>53.27</v>
      </c>
      <c r="CG60" s="5">
        <v>1.25</v>
      </c>
      <c r="CH60" s="5">
        <v>17.64</v>
      </c>
      <c r="CI60" s="5">
        <v>9.82</v>
      </c>
      <c r="CJ60" s="5">
        <v>0.17</v>
      </c>
      <c r="CK60" s="5">
        <v>3.05</v>
      </c>
      <c r="CL60" s="5">
        <v>7.99</v>
      </c>
      <c r="CM60" s="5">
        <v>3.88</v>
      </c>
      <c r="CN60" s="5">
        <v>0.84</v>
      </c>
      <c r="CO60" s="5">
        <v>0.24</v>
      </c>
      <c r="CP60" s="5">
        <v>1733</v>
      </c>
      <c r="CQ60" s="5"/>
      <c r="CR60" s="5"/>
      <c r="CS60" s="5">
        <v>1212</v>
      </c>
      <c r="CT60" s="5">
        <v>3.56</v>
      </c>
      <c r="CU60" s="20">
        <v>345</v>
      </c>
      <c r="CV60" s="5">
        <v>2.66</v>
      </c>
      <c r="CW60" s="5">
        <v>0.06</v>
      </c>
      <c r="CX60" s="5">
        <v>0.88</v>
      </c>
      <c r="CY60" s="5">
        <v>0.49</v>
      </c>
      <c r="CZ60" s="5">
        <v>0.01</v>
      </c>
      <c r="DA60" s="5">
        <v>0.15</v>
      </c>
      <c r="DB60" s="5">
        <v>0.4</v>
      </c>
      <c r="DC60" s="5">
        <v>0.19</v>
      </c>
      <c r="DD60" s="5">
        <v>0.04</v>
      </c>
      <c r="DE60" s="5">
        <v>0.01</v>
      </c>
      <c r="DF60" s="5">
        <v>87</v>
      </c>
      <c r="DG60" s="5"/>
      <c r="DH60" s="5"/>
      <c r="DI60" s="5">
        <v>61</v>
      </c>
      <c r="DJ60" s="5">
        <v>0.18</v>
      </c>
      <c r="DK60" s="20">
        <v>17</v>
      </c>
      <c r="DL60" s="5"/>
      <c r="DM60" s="5"/>
      <c r="DN60" s="5"/>
      <c r="DO60" s="5"/>
      <c r="DP60" s="5"/>
      <c r="DQ60" s="20">
        <v>73.5</v>
      </c>
      <c r="DR60" s="5"/>
      <c r="DS60" s="5"/>
      <c r="DT60" s="5"/>
      <c r="DU60" s="5"/>
      <c r="DV60" s="5"/>
      <c r="DW60" s="20">
        <v>2</v>
      </c>
      <c r="DX60" s="5"/>
      <c r="DY60" s="5"/>
      <c r="DZ60" s="5"/>
      <c r="EA60" s="5"/>
      <c r="EB60" s="5">
        <v>49</v>
      </c>
      <c r="EC60" s="5"/>
      <c r="ED60" s="5"/>
      <c r="EE60" s="5"/>
      <c r="EF60" s="5"/>
      <c r="EG60" s="20"/>
      <c r="EH60" s="5"/>
      <c r="EI60" s="5"/>
      <c r="EJ60" s="5"/>
      <c r="EK60" s="5"/>
      <c r="EL60" s="5"/>
      <c r="EM60" s="21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4"/>
    </row>
    <row r="61" spans="1:181" ht="15" x14ac:dyDescent="0.2">
      <c r="A61" s="4" t="s">
        <v>400</v>
      </c>
      <c r="B61" s="4" t="s">
        <v>1</v>
      </c>
      <c r="C61" s="4" t="s">
        <v>2</v>
      </c>
      <c r="D61" s="4" t="s">
        <v>3</v>
      </c>
      <c r="E61" s="5" t="s">
        <v>3</v>
      </c>
      <c r="F61" s="5" t="s">
        <v>399</v>
      </c>
      <c r="G61" s="5">
        <v>0.2</v>
      </c>
      <c r="H61" s="5">
        <v>0.01</v>
      </c>
      <c r="I61" s="5"/>
      <c r="J61" s="20"/>
      <c r="K61" s="5">
        <v>55.8</v>
      </c>
      <c r="L61" s="5">
        <v>0.99</v>
      </c>
      <c r="M61" s="5">
        <v>16.63</v>
      </c>
      <c r="N61" s="5">
        <v>1.57</v>
      </c>
      <c r="O61" s="5">
        <v>8.1300000000000008</v>
      </c>
      <c r="P61" s="5">
        <v>0.14000000000000001</v>
      </c>
      <c r="Q61" s="5">
        <v>4.3099999999999996</v>
      </c>
      <c r="R61" s="5">
        <v>6.53</v>
      </c>
      <c r="S61" s="5">
        <v>4.22</v>
      </c>
      <c r="T61" s="5">
        <v>1.1000000000000001</v>
      </c>
      <c r="U61" s="5">
        <v>0.4</v>
      </c>
      <c r="V61" s="5">
        <v>1348</v>
      </c>
      <c r="W61" s="5">
        <v>1352</v>
      </c>
      <c r="X61" s="5">
        <v>2.98</v>
      </c>
      <c r="Y61" s="5">
        <v>200</v>
      </c>
      <c r="Z61" s="20">
        <v>103.1</v>
      </c>
      <c r="AA61" s="5">
        <v>962</v>
      </c>
      <c r="AB61" s="5">
        <v>1085</v>
      </c>
      <c r="AC61" s="5">
        <v>736</v>
      </c>
      <c r="AD61" s="5">
        <v>962</v>
      </c>
      <c r="AE61" s="5">
        <v>9.1</v>
      </c>
      <c r="AF61" s="5">
        <v>0.36</v>
      </c>
      <c r="AG61" s="5">
        <v>166</v>
      </c>
      <c r="AH61" s="20">
        <v>6.6</v>
      </c>
      <c r="AI61" s="5">
        <v>2.46</v>
      </c>
      <c r="AJ61" s="5">
        <v>0.05</v>
      </c>
      <c r="AK61" s="5">
        <v>1.02</v>
      </c>
      <c r="AL61" s="5">
        <v>0.1</v>
      </c>
      <c r="AM61" s="5">
        <v>0.72</v>
      </c>
      <c r="AN61" s="5">
        <v>0.01</v>
      </c>
      <c r="AO61" s="5">
        <v>0.63</v>
      </c>
      <c r="AP61" s="5">
        <v>0.37</v>
      </c>
      <c r="AQ61" s="5">
        <v>0.24</v>
      </c>
      <c r="AR61" s="5">
        <v>0.06</v>
      </c>
      <c r="AS61" s="5">
        <v>0.02</v>
      </c>
      <c r="AT61" s="5">
        <v>86</v>
      </c>
      <c r="AU61" s="5">
        <v>69</v>
      </c>
      <c r="AV61" s="5">
        <v>0.1</v>
      </c>
      <c r="AW61" s="5">
        <v>12</v>
      </c>
      <c r="AX61" s="5">
        <v>7</v>
      </c>
      <c r="AY61" s="5">
        <v>26</v>
      </c>
      <c r="AZ61" s="5">
        <v>214</v>
      </c>
      <c r="BA61" s="5">
        <v>13</v>
      </c>
      <c r="BB61" s="5">
        <v>2.34</v>
      </c>
      <c r="BC61" s="5">
        <v>0.02</v>
      </c>
      <c r="BD61" s="5">
        <v>12</v>
      </c>
      <c r="BE61" s="20">
        <v>0.4</v>
      </c>
      <c r="BF61" s="5">
        <v>1.9</v>
      </c>
      <c r="BG61" s="5">
        <v>0.4</v>
      </c>
      <c r="BH61" s="5">
        <v>1.6</v>
      </c>
      <c r="BI61" s="5">
        <v>0.85</v>
      </c>
      <c r="BJ61" s="5"/>
      <c r="BK61" s="5"/>
      <c r="BL61" s="5"/>
      <c r="BM61" s="5">
        <v>1193</v>
      </c>
      <c r="BN61" s="5">
        <v>200</v>
      </c>
      <c r="BO61" s="5">
        <v>1072</v>
      </c>
      <c r="BP61" s="5">
        <v>382</v>
      </c>
      <c r="BQ61" s="5"/>
      <c r="BR61" s="5"/>
      <c r="BS61" s="5">
        <v>331</v>
      </c>
      <c r="BT61" s="5">
        <v>29</v>
      </c>
      <c r="BU61" s="5">
        <v>310</v>
      </c>
      <c r="BV61" s="5">
        <v>70</v>
      </c>
      <c r="BW61" s="5"/>
      <c r="BX61" s="5"/>
      <c r="BY61" s="5">
        <v>12.5</v>
      </c>
      <c r="BZ61" s="5">
        <v>1</v>
      </c>
      <c r="CA61" s="5">
        <v>11.8</v>
      </c>
      <c r="CB61" s="20">
        <v>2.5</v>
      </c>
      <c r="CC61" s="5">
        <v>3.8</v>
      </c>
      <c r="CD61" s="5">
        <v>360</v>
      </c>
      <c r="CE61" s="20">
        <v>13.5</v>
      </c>
      <c r="CF61" s="5">
        <v>57.36</v>
      </c>
      <c r="CG61" s="5">
        <v>1.07</v>
      </c>
      <c r="CH61" s="5">
        <v>18.100000000000001</v>
      </c>
      <c r="CI61" s="5">
        <v>7.67</v>
      </c>
      <c r="CJ61" s="5">
        <v>0.15</v>
      </c>
      <c r="CK61" s="5">
        <v>1.69</v>
      </c>
      <c r="CL61" s="5">
        <v>7.11</v>
      </c>
      <c r="CM61" s="5">
        <v>4.59</v>
      </c>
      <c r="CN61" s="5">
        <v>1.2</v>
      </c>
      <c r="CO61" s="5">
        <v>0.44</v>
      </c>
      <c r="CP61" s="5">
        <v>1467</v>
      </c>
      <c r="CQ61" s="5"/>
      <c r="CR61" s="5"/>
      <c r="CS61" s="5">
        <v>1472</v>
      </c>
      <c r="CT61" s="5">
        <v>3.24</v>
      </c>
      <c r="CU61" s="20">
        <v>218</v>
      </c>
      <c r="CV61" s="5">
        <v>2.87</v>
      </c>
      <c r="CW61" s="5">
        <v>0.05</v>
      </c>
      <c r="CX61" s="5">
        <v>0.91</v>
      </c>
      <c r="CY61" s="5">
        <v>0.38</v>
      </c>
      <c r="CZ61" s="5">
        <v>0.01</v>
      </c>
      <c r="DA61" s="5">
        <v>0.08</v>
      </c>
      <c r="DB61" s="5">
        <v>0.36</v>
      </c>
      <c r="DC61" s="5">
        <v>0.23</v>
      </c>
      <c r="DD61" s="5">
        <v>0.06</v>
      </c>
      <c r="DE61" s="5">
        <v>0.02</v>
      </c>
      <c r="DF61" s="5">
        <v>73</v>
      </c>
      <c r="DG61" s="5"/>
      <c r="DH61" s="5"/>
      <c r="DI61" s="5">
        <v>74</v>
      </c>
      <c r="DJ61" s="5">
        <v>0.16</v>
      </c>
      <c r="DK61" s="20">
        <v>11</v>
      </c>
      <c r="DL61" s="5"/>
      <c r="DM61" s="5"/>
      <c r="DN61" s="5"/>
      <c r="DO61" s="5"/>
      <c r="DP61" s="5"/>
      <c r="DQ61" s="20">
        <v>72.7</v>
      </c>
      <c r="DR61" s="5"/>
      <c r="DS61" s="5"/>
      <c r="DT61" s="5"/>
      <c r="DU61" s="5"/>
      <c r="DV61" s="5"/>
      <c r="DW61" s="20">
        <v>2</v>
      </c>
      <c r="DX61" s="5"/>
      <c r="DY61" s="5"/>
      <c r="DZ61" s="5"/>
      <c r="EA61" s="5"/>
      <c r="EB61" s="5">
        <v>38</v>
      </c>
      <c r="EC61" s="5"/>
      <c r="ED61" s="5"/>
      <c r="EE61" s="5"/>
      <c r="EF61" s="5"/>
      <c r="EG61" s="20"/>
      <c r="EH61" s="5"/>
      <c r="EI61" s="5"/>
      <c r="EJ61" s="5"/>
      <c r="EK61" s="5"/>
      <c r="EL61" s="5"/>
      <c r="EM61" s="21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4"/>
    </row>
    <row r="62" spans="1:181" ht="15" x14ac:dyDescent="0.2">
      <c r="A62" s="4" t="s">
        <v>401</v>
      </c>
      <c r="B62" s="4" t="s">
        <v>1</v>
      </c>
      <c r="C62" s="4" t="s">
        <v>2</v>
      </c>
      <c r="D62" s="4" t="s">
        <v>3</v>
      </c>
      <c r="E62" s="5" t="s">
        <v>3</v>
      </c>
      <c r="F62" s="5" t="s">
        <v>399</v>
      </c>
      <c r="G62" s="5">
        <v>0.2</v>
      </c>
      <c r="H62" s="5">
        <v>0.01</v>
      </c>
      <c r="I62" s="5"/>
      <c r="J62" s="20"/>
      <c r="K62" s="5">
        <v>50.67</v>
      </c>
      <c r="L62" s="5">
        <v>0.91</v>
      </c>
      <c r="M62" s="5">
        <v>17.61</v>
      </c>
      <c r="N62" s="5">
        <v>1.91</v>
      </c>
      <c r="O62" s="5">
        <v>8.5299999999999994</v>
      </c>
      <c r="P62" s="5">
        <v>0.16</v>
      </c>
      <c r="Q62" s="5">
        <v>4.46</v>
      </c>
      <c r="R62" s="5">
        <v>8.99</v>
      </c>
      <c r="S62" s="5">
        <v>3.02</v>
      </c>
      <c r="T62" s="5">
        <v>1.01</v>
      </c>
      <c r="U62" s="5">
        <v>0.31</v>
      </c>
      <c r="V62" s="5">
        <v>1564</v>
      </c>
      <c r="W62" s="5">
        <v>191</v>
      </c>
      <c r="X62" s="5">
        <v>3.29</v>
      </c>
      <c r="Y62" s="5">
        <v>470</v>
      </c>
      <c r="Z62" s="20">
        <v>101.1</v>
      </c>
      <c r="AA62" s="5">
        <v>980</v>
      </c>
      <c r="AB62" s="5">
        <v>1074</v>
      </c>
      <c r="AC62" s="5">
        <v>751</v>
      </c>
      <c r="AD62" s="5">
        <v>980</v>
      </c>
      <c r="AE62" s="5">
        <v>6.5</v>
      </c>
      <c r="AF62" s="5">
        <v>0.32</v>
      </c>
      <c r="AG62" s="5">
        <v>245</v>
      </c>
      <c r="AH62" s="20">
        <v>9.5</v>
      </c>
      <c r="AI62" s="5">
        <v>2.36</v>
      </c>
      <c r="AJ62" s="5">
        <v>0.05</v>
      </c>
      <c r="AK62" s="5">
        <v>1.0900000000000001</v>
      </c>
      <c r="AL62" s="5">
        <v>0.12</v>
      </c>
      <c r="AM62" s="5">
        <v>0.57999999999999996</v>
      </c>
      <c r="AN62" s="5">
        <v>0.01</v>
      </c>
      <c r="AO62" s="5">
        <v>0.6</v>
      </c>
      <c r="AP62" s="5">
        <v>0.57999999999999996</v>
      </c>
      <c r="AQ62" s="5">
        <v>0.14000000000000001</v>
      </c>
      <c r="AR62" s="5">
        <v>0.05</v>
      </c>
      <c r="AS62" s="5">
        <v>0.02</v>
      </c>
      <c r="AT62" s="5">
        <v>81</v>
      </c>
      <c r="AU62" s="5">
        <v>51</v>
      </c>
      <c r="AV62" s="5">
        <v>0.2</v>
      </c>
      <c r="AW62" s="5">
        <v>26</v>
      </c>
      <c r="AX62" s="5">
        <v>7</v>
      </c>
      <c r="AY62" s="5">
        <v>27</v>
      </c>
      <c r="AZ62" s="5">
        <v>175</v>
      </c>
      <c r="BA62" s="5">
        <v>12</v>
      </c>
      <c r="BB62" s="5">
        <v>1.83</v>
      </c>
      <c r="BC62" s="5">
        <v>0</v>
      </c>
      <c r="BD62" s="5">
        <v>17</v>
      </c>
      <c r="BE62" s="20">
        <v>0.6</v>
      </c>
      <c r="BF62" s="5">
        <v>1.3</v>
      </c>
      <c r="BG62" s="5">
        <v>0.4</v>
      </c>
      <c r="BH62" s="5">
        <v>1.4</v>
      </c>
      <c r="BI62" s="5">
        <v>0.77</v>
      </c>
      <c r="BJ62" s="5"/>
      <c r="BK62" s="5"/>
      <c r="BL62" s="5"/>
      <c r="BM62" s="5">
        <v>1783</v>
      </c>
      <c r="BN62" s="5">
        <v>351</v>
      </c>
      <c r="BO62" s="5">
        <v>1850</v>
      </c>
      <c r="BP62" s="5">
        <v>624</v>
      </c>
      <c r="BQ62" s="5"/>
      <c r="BR62" s="5"/>
      <c r="BS62" s="5">
        <v>449</v>
      </c>
      <c r="BT62" s="5">
        <v>72</v>
      </c>
      <c r="BU62" s="5">
        <v>459</v>
      </c>
      <c r="BV62" s="5">
        <v>95</v>
      </c>
      <c r="BW62" s="5"/>
      <c r="BX62" s="5"/>
      <c r="BY62" s="5">
        <v>16.5</v>
      </c>
      <c r="BZ62" s="5">
        <v>2.2999999999999998</v>
      </c>
      <c r="CA62" s="5">
        <v>16.899999999999999</v>
      </c>
      <c r="CB62" s="20">
        <v>3.3</v>
      </c>
      <c r="CC62" s="5">
        <v>3.9</v>
      </c>
      <c r="CD62" s="5">
        <v>496</v>
      </c>
      <c r="CE62" s="20">
        <v>18.2</v>
      </c>
      <c r="CF62" s="5">
        <v>51.49</v>
      </c>
      <c r="CG62" s="5">
        <v>0.97</v>
      </c>
      <c r="CH62" s="5">
        <v>18.760000000000002</v>
      </c>
      <c r="CI62" s="5">
        <v>9.15</v>
      </c>
      <c r="CJ62" s="5">
        <v>0.17</v>
      </c>
      <c r="CK62" s="5">
        <v>2.4300000000000002</v>
      </c>
      <c r="CL62" s="5">
        <v>9.57</v>
      </c>
      <c r="CM62" s="5">
        <v>3.22</v>
      </c>
      <c r="CN62" s="5">
        <v>1.07</v>
      </c>
      <c r="CO62" s="5">
        <v>0.33</v>
      </c>
      <c r="CP62" s="5">
        <v>1666</v>
      </c>
      <c r="CQ62" s="5"/>
      <c r="CR62" s="5"/>
      <c r="CS62" s="5">
        <v>204</v>
      </c>
      <c r="CT62" s="5">
        <v>3.5</v>
      </c>
      <c r="CU62" s="20">
        <v>500</v>
      </c>
      <c r="CV62" s="5">
        <v>2.57</v>
      </c>
      <c r="CW62" s="5">
        <v>0.05</v>
      </c>
      <c r="CX62" s="5">
        <v>0.94</v>
      </c>
      <c r="CY62" s="5">
        <v>0.46</v>
      </c>
      <c r="CZ62" s="5">
        <v>0.01</v>
      </c>
      <c r="DA62" s="5">
        <v>0.12</v>
      </c>
      <c r="DB62" s="5">
        <v>0.48</v>
      </c>
      <c r="DC62" s="5">
        <v>0.16</v>
      </c>
      <c r="DD62" s="5">
        <v>0.05</v>
      </c>
      <c r="DE62" s="5">
        <v>0.02</v>
      </c>
      <c r="DF62" s="5">
        <v>83</v>
      </c>
      <c r="DG62" s="5"/>
      <c r="DH62" s="5"/>
      <c r="DI62" s="5">
        <v>10</v>
      </c>
      <c r="DJ62" s="5">
        <v>0.17</v>
      </c>
      <c r="DK62" s="20">
        <v>25</v>
      </c>
      <c r="DL62" s="5"/>
      <c r="DM62" s="5"/>
      <c r="DN62" s="5"/>
      <c r="DO62" s="5"/>
      <c r="DP62" s="5"/>
      <c r="DQ62" s="20">
        <v>74.400000000000006</v>
      </c>
      <c r="DR62" s="5"/>
      <c r="DS62" s="5"/>
      <c r="DT62" s="5"/>
      <c r="DU62" s="5"/>
      <c r="DV62" s="5"/>
      <c r="DW62" s="20">
        <v>2</v>
      </c>
      <c r="DX62" s="5"/>
      <c r="DY62" s="5"/>
      <c r="DZ62" s="5"/>
      <c r="EA62" s="5"/>
      <c r="EB62" s="5">
        <v>45</v>
      </c>
      <c r="EC62" s="5"/>
      <c r="ED62" s="5"/>
      <c r="EE62" s="5"/>
      <c r="EF62" s="5"/>
      <c r="EG62" s="20"/>
      <c r="EH62" s="5"/>
      <c r="EI62" s="5"/>
      <c r="EJ62" s="5"/>
      <c r="EK62" s="5"/>
      <c r="EL62" s="5"/>
      <c r="EM62" s="21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4"/>
    </row>
    <row r="63" spans="1:181" ht="15" x14ac:dyDescent="0.2">
      <c r="A63" s="4" t="s">
        <v>402</v>
      </c>
      <c r="B63" s="4" t="s">
        <v>1</v>
      </c>
      <c r="C63" s="4" t="s">
        <v>2</v>
      </c>
      <c r="D63" s="4" t="s">
        <v>3</v>
      </c>
      <c r="E63" s="5" t="s">
        <v>3</v>
      </c>
      <c r="F63" s="5" t="s">
        <v>399</v>
      </c>
      <c r="G63" s="5">
        <v>0.2</v>
      </c>
      <c r="H63" s="5">
        <v>0.01</v>
      </c>
      <c r="I63" s="5"/>
      <c r="J63" s="20"/>
      <c r="K63" s="5">
        <v>55.14</v>
      </c>
      <c r="L63" s="5">
        <v>1.19</v>
      </c>
      <c r="M63" s="5">
        <v>16.829999999999998</v>
      </c>
      <c r="N63" s="5">
        <v>1.81</v>
      </c>
      <c r="O63" s="5">
        <v>7.74</v>
      </c>
      <c r="P63" s="5">
        <v>0.17</v>
      </c>
      <c r="Q63" s="5">
        <v>3.72</v>
      </c>
      <c r="R63" s="5">
        <v>7.33</v>
      </c>
      <c r="S63" s="5">
        <v>4.13</v>
      </c>
      <c r="T63" s="5">
        <v>0.92</v>
      </c>
      <c r="U63" s="5">
        <v>0.37</v>
      </c>
      <c r="V63" s="5">
        <v>1319</v>
      </c>
      <c r="W63" s="5">
        <v>1204</v>
      </c>
      <c r="X63" s="5">
        <v>3.22</v>
      </c>
      <c r="Y63" s="5">
        <v>330</v>
      </c>
      <c r="Z63" s="20">
        <v>102.9</v>
      </c>
      <c r="AA63" s="5">
        <v>994</v>
      </c>
      <c r="AB63" s="5">
        <v>1050</v>
      </c>
      <c r="AC63" s="5">
        <v>778</v>
      </c>
      <c r="AD63" s="5">
        <v>994</v>
      </c>
      <c r="AE63" s="5">
        <v>4.4000000000000004</v>
      </c>
      <c r="AF63" s="5">
        <v>0.31</v>
      </c>
      <c r="AG63" s="5">
        <v>199</v>
      </c>
      <c r="AH63" s="20">
        <v>7.8</v>
      </c>
      <c r="AI63" s="5">
        <v>2.34</v>
      </c>
      <c r="AJ63" s="5">
        <v>7.0000000000000007E-2</v>
      </c>
      <c r="AK63" s="5">
        <v>0.99</v>
      </c>
      <c r="AL63" s="5">
        <v>0.12</v>
      </c>
      <c r="AM63" s="5">
        <v>0.56000000000000005</v>
      </c>
      <c r="AN63" s="5">
        <v>0.01</v>
      </c>
      <c r="AO63" s="5">
        <v>0.54</v>
      </c>
      <c r="AP63" s="5">
        <v>0.31</v>
      </c>
      <c r="AQ63" s="5">
        <v>0.24</v>
      </c>
      <c r="AR63" s="5">
        <v>0.05</v>
      </c>
      <c r="AS63" s="5">
        <v>0.02</v>
      </c>
      <c r="AT63" s="5">
        <v>66</v>
      </c>
      <c r="AU63" s="5">
        <v>60</v>
      </c>
      <c r="AV63" s="5">
        <v>0.2</v>
      </c>
      <c r="AW63" s="5">
        <v>18</v>
      </c>
      <c r="AX63" s="5">
        <v>7</v>
      </c>
      <c r="AY63" s="5">
        <v>21</v>
      </c>
      <c r="AZ63" s="5">
        <v>233</v>
      </c>
      <c r="BA63" s="5">
        <v>13</v>
      </c>
      <c r="BB63" s="5">
        <v>1.83</v>
      </c>
      <c r="BC63" s="5">
        <v>0.01</v>
      </c>
      <c r="BD63" s="5">
        <v>11</v>
      </c>
      <c r="BE63" s="20">
        <v>0.4</v>
      </c>
      <c r="BF63" s="5">
        <v>0.8</v>
      </c>
      <c r="BG63" s="5">
        <v>0.3</v>
      </c>
      <c r="BH63" s="5">
        <v>1.1000000000000001</v>
      </c>
      <c r="BI63" s="5">
        <v>0.82</v>
      </c>
      <c r="BJ63" s="5"/>
      <c r="BK63" s="5"/>
      <c r="BL63" s="5"/>
      <c r="BM63" s="5">
        <v>938</v>
      </c>
      <c r="BN63" s="5">
        <v>234</v>
      </c>
      <c r="BO63" s="5">
        <v>1165</v>
      </c>
      <c r="BP63" s="5">
        <v>525</v>
      </c>
      <c r="BQ63" s="5"/>
      <c r="BR63" s="5"/>
      <c r="BS63" s="5">
        <v>304</v>
      </c>
      <c r="BT63" s="5">
        <v>38</v>
      </c>
      <c r="BU63" s="5">
        <v>345</v>
      </c>
      <c r="BV63" s="5">
        <v>93</v>
      </c>
      <c r="BW63" s="5"/>
      <c r="BX63" s="5"/>
      <c r="BY63" s="5">
        <v>11.6</v>
      </c>
      <c r="BZ63" s="5">
        <v>1.3</v>
      </c>
      <c r="CA63" s="5">
        <v>13</v>
      </c>
      <c r="CB63" s="20">
        <v>3.2</v>
      </c>
      <c r="CC63" s="5">
        <v>4</v>
      </c>
      <c r="CD63" s="5">
        <v>395</v>
      </c>
      <c r="CE63" s="20">
        <v>14.7</v>
      </c>
      <c r="CF63" s="5">
        <v>55.86</v>
      </c>
      <c r="CG63" s="5">
        <v>1.24</v>
      </c>
      <c r="CH63" s="5">
        <v>17.54</v>
      </c>
      <c r="CI63" s="5">
        <v>8.51</v>
      </c>
      <c r="CJ63" s="5">
        <v>0.18</v>
      </c>
      <c r="CK63" s="5">
        <v>2.4</v>
      </c>
      <c r="CL63" s="5">
        <v>7.64</v>
      </c>
      <c r="CM63" s="5">
        <v>4.3099999999999996</v>
      </c>
      <c r="CN63" s="5">
        <v>0.96</v>
      </c>
      <c r="CO63" s="5">
        <v>0.38</v>
      </c>
      <c r="CP63" s="5">
        <v>1376</v>
      </c>
      <c r="CQ63" s="5"/>
      <c r="CR63" s="5"/>
      <c r="CS63" s="5">
        <v>1256</v>
      </c>
      <c r="CT63" s="5">
        <v>3.35</v>
      </c>
      <c r="CU63" s="20">
        <v>344</v>
      </c>
      <c r="CV63" s="5">
        <v>2.79</v>
      </c>
      <c r="CW63" s="5">
        <v>0.06</v>
      </c>
      <c r="CX63" s="5">
        <v>0.88</v>
      </c>
      <c r="CY63" s="5">
        <v>0.43</v>
      </c>
      <c r="CZ63" s="5">
        <v>0.01</v>
      </c>
      <c r="DA63" s="5">
        <v>0.12</v>
      </c>
      <c r="DB63" s="5">
        <v>0.38</v>
      </c>
      <c r="DC63" s="5">
        <v>0.22</v>
      </c>
      <c r="DD63" s="5">
        <v>0.05</v>
      </c>
      <c r="DE63" s="5">
        <v>0.02</v>
      </c>
      <c r="DF63" s="5">
        <v>69</v>
      </c>
      <c r="DG63" s="5"/>
      <c r="DH63" s="5"/>
      <c r="DI63" s="5">
        <v>63</v>
      </c>
      <c r="DJ63" s="5">
        <v>0.17</v>
      </c>
      <c r="DK63" s="20">
        <v>17</v>
      </c>
      <c r="DL63" s="5"/>
      <c r="DM63" s="5"/>
      <c r="DN63" s="5"/>
      <c r="DO63" s="5"/>
      <c r="DP63" s="5"/>
      <c r="DQ63" s="20">
        <v>73.400000000000006</v>
      </c>
      <c r="DR63" s="5"/>
      <c r="DS63" s="5"/>
      <c r="DT63" s="5"/>
      <c r="DU63" s="5"/>
      <c r="DV63" s="5"/>
      <c r="DW63" s="20">
        <v>2</v>
      </c>
      <c r="DX63" s="5"/>
      <c r="DY63" s="5"/>
      <c r="DZ63" s="5"/>
      <c r="EA63" s="5"/>
      <c r="EB63" s="5">
        <v>38</v>
      </c>
      <c r="EC63" s="5"/>
      <c r="ED63" s="5"/>
      <c r="EE63" s="5"/>
      <c r="EF63" s="5"/>
      <c r="EG63" s="20"/>
      <c r="EH63" s="5"/>
      <c r="EI63" s="5"/>
      <c r="EJ63" s="5"/>
      <c r="EK63" s="5"/>
      <c r="EL63" s="5"/>
      <c r="EM63" s="21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4"/>
    </row>
    <row r="64" spans="1:181" ht="15" x14ac:dyDescent="0.2">
      <c r="A64" s="4" t="s">
        <v>403</v>
      </c>
      <c r="B64" s="4" t="s">
        <v>1</v>
      </c>
      <c r="C64" s="4" t="s">
        <v>2</v>
      </c>
      <c r="D64" s="4" t="s">
        <v>3</v>
      </c>
      <c r="E64" s="5" t="s">
        <v>3</v>
      </c>
      <c r="F64" s="5" t="s">
        <v>399</v>
      </c>
      <c r="G64" s="5">
        <v>0.2</v>
      </c>
      <c r="H64" s="5">
        <v>0.01</v>
      </c>
      <c r="I64" s="5"/>
      <c r="J64" s="20"/>
      <c r="K64" s="5">
        <v>53.94</v>
      </c>
      <c r="L64" s="5">
        <v>0.99</v>
      </c>
      <c r="M64" s="5">
        <v>17.14</v>
      </c>
      <c r="N64" s="5">
        <v>2.14</v>
      </c>
      <c r="O64" s="5">
        <v>8.08</v>
      </c>
      <c r="P64" s="5">
        <v>0.18</v>
      </c>
      <c r="Q64" s="5">
        <v>3.82</v>
      </c>
      <c r="R64" s="5">
        <v>7.32</v>
      </c>
      <c r="S64" s="5">
        <v>3.84</v>
      </c>
      <c r="T64" s="5">
        <v>0.86</v>
      </c>
      <c r="U64" s="5">
        <v>0.31</v>
      </c>
      <c r="V64" s="5">
        <v>1996</v>
      </c>
      <c r="W64" s="5">
        <v>1333</v>
      </c>
      <c r="X64" s="5">
        <v>3.53</v>
      </c>
      <c r="Y64" s="5">
        <v>191</v>
      </c>
      <c r="Z64" s="20">
        <v>102.5</v>
      </c>
      <c r="AA64" s="5">
        <v>1022</v>
      </c>
      <c r="AB64" s="5">
        <v>1046</v>
      </c>
      <c r="AC64" s="5">
        <v>806</v>
      </c>
      <c r="AD64" s="5">
        <v>1022</v>
      </c>
      <c r="AE64" s="5">
        <v>1.5</v>
      </c>
      <c r="AF64" s="5">
        <v>0.32</v>
      </c>
      <c r="AG64" s="5">
        <v>178</v>
      </c>
      <c r="AH64" s="20">
        <v>7.1</v>
      </c>
      <c r="AI64" s="5">
        <v>2.35</v>
      </c>
      <c r="AJ64" s="5">
        <v>0.05</v>
      </c>
      <c r="AK64" s="5">
        <v>0.91</v>
      </c>
      <c r="AL64" s="5">
        <v>0.17</v>
      </c>
      <c r="AM64" s="5">
        <v>0.69</v>
      </c>
      <c r="AN64" s="5">
        <v>0.01</v>
      </c>
      <c r="AO64" s="5">
        <v>0.5</v>
      </c>
      <c r="AP64" s="5">
        <v>0.36</v>
      </c>
      <c r="AQ64" s="5">
        <v>0.2</v>
      </c>
      <c r="AR64" s="5">
        <v>0.04</v>
      </c>
      <c r="AS64" s="5">
        <v>0.02</v>
      </c>
      <c r="AT64" s="5">
        <v>107</v>
      </c>
      <c r="AU64" s="5">
        <v>74</v>
      </c>
      <c r="AV64" s="5">
        <v>0.2</v>
      </c>
      <c r="AW64" s="5">
        <v>10</v>
      </c>
      <c r="AX64" s="5">
        <v>7</v>
      </c>
      <c r="AY64" s="5">
        <v>20</v>
      </c>
      <c r="AZ64" s="5">
        <v>220</v>
      </c>
      <c r="BA64" s="5">
        <v>16</v>
      </c>
      <c r="BB64" s="5">
        <v>1.91</v>
      </c>
      <c r="BC64" s="5">
        <v>0.01</v>
      </c>
      <c r="BD64" s="5">
        <v>12</v>
      </c>
      <c r="BE64" s="20">
        <v>0.4</v>
      </c>
      <c r="BF64" s="5">
        <v>0.3</v>
      </c>
      <c r="BG64" s="5">
        <v>0.3</v>
      </c>
      <c r="BH64" s="5">
        <v>1.1000000000000001</v>
      </c>
      <c r="BI64" s="5">
        <v>0.8</v>
      </c>
      <c r="BJ64" s="5"/>
      <c r="BK64" s="5"/>
      <c r="BL64" s="5"/>
      <c r="BM64" s="5">
        <v>329</v>
      </c>
      <c r="BN64" s="5">
        <v>135</v>
      </c>
      <c r="BO64" s="5">
        <v>691</v>
      </c>
      <c r="BP64" s="5">
        <v>348</v>
      </c>
      <c r="BQ64" s="5"/>
      <c r="BR64" s="5"/>
      <c r="BS64" s="5">
        <v>202</v>
      </c>
      <c r="BT64" s="5">
        <v>28</v>
      </c>
      <c r="BU64" s="5">
        <v>277</v>
      </c>
      <c r="BV64" s="5">
        <v>68</v>
      </c>
      <c r="BW64" s="5"/>
      <c r="BX64" s="5"/>
      <c r="BY64" s="5">
        <v>7.9</v>
      </c>
      <c r="BZ64" s="5">
        <v>1</v>
      </c>
      <c r="CA64" s="5">
        <v>10.6</v>
      </c>
      <c r="CB64" s="20">
        <v>2.4</v>
      </c>
      <c r="CC64" s="5">
        <v>4.4000000000000004</v>
      </c>
      <c r="CD64" s="5">
        <v>340</v>
      </c>
      <c r="CE64" s="20">
        <v>12.8</v>
      </c>
      <c r="CF64" s="5">
        <v>54.16</v>
      </c>
      <c r="CG64" s="5">
        <v>1</v>
      </c>
      <c r="CH64" s="5">
        <v>17.39</v>
      </c>
      <c r="CI64" s="5">
        <v>9.77</v>
      </c>
      <c r="CJ64" s="5">
        <v>0.18</v>
      </c>
      <c r="CK64" s="5">
        <v>3.34</v>
      </c>
      <c r="CL64" s="5">
        <v>7.42</v>
      </c>
      <c r="CM64" s="5">
        <v>3.9</v>
      </c>
      <c r="CN64" s="5">
        <v>0.87</v>
      </c>
      <c r="CO64" s="5">
        <v>0.32</v>
      </c>
      <c r="CP64" s="5">
        <v>2025</v>
      </c>
      <c r="CQ64" s="5"/>
      <c r="CR64" s="5"/>
      <c r="CS64" s="5">
        <v>1352</v>
      </c>
      <c r="CT64" s="5">
        <v>3.58</v>
      </c>
      <c r="CU64" s="20">
        <v>193</v>
      </c>
      <c r="CV64" s="5">
        <v>2.71</v>
      </c>
      <c r="CW64" s="5">
        <v>0.05</v>
      </c>
      <c r="CX64" s="5">
        <v>0.87</v>
      </c>
      <c r="CY64" s="5">
        <v>0.49</v>
      </c>
      <c r="CZ64" s="5">
        <v>0.01</v>
      </c>
      <c r="DA64" s="5">
        <v>0.17</v>
      </c>
      <c r="DB64" s="5">
        <v>0.37</v>
      </c>
      <c r="DC64" s="5">
        <v>0.19</v>
      </c>
      <c r="DD64" s="5">
        <v>0.04</v>
      </c>
      <c r="DE64" s="5">
        <v>0.02</v>
      </c>
      <c r="DF64" s="5">
        <v>101</v>
      </c>
      <c r="DG64" s="5"/>
      <c r="DH64" s="5"/>
      <c r="DI64" s="5">
        <v>68</v>
      </c>
      <c r="DJ64" s="5">
        <v>0.18</v>
      </c>
      <c r="DK64" s="20">
        <v>10</v>
      </c>
      <c r="DL64" s="5"/>
      <c r="DM64" s="5"/>
      <c r="DN64" s="5"/>
      <c r="DO64" s="5"/>
      <c r="DP64" s="5"/>
      <c r="DQ64" s="20">
        <v>72.7</v>
      </c>
      <c r="DR64" s="5"/>
      <c r="DS64" s="5"/>
      <c r="DT64" s="5"/>
      <c r="DU64" s="5"/>
      <c r="DV64" s="5"/>
      <c r="DW64" s="20">
        <v>2</v>
      </c>
      <c r="DX64" s="5"/>
      <c r="DY64" s="5"/>
      <c r="DZ64" s="5"/>
      <c r="EA64" s="5"/>
      <c r="EB64" s="5">
        <v>61</v>
      </c>
      <c r="EC64" s="5"/>
      <c r="ED64" s="5"/>
      <c r="EE64" s="5"/>
      <c r="EF64" s="5"/>
      <c r="EG64" s="20"/>
      <c r="EH64" s="5"/>
      <c r="EI64" s="5"/>
      <c r="EJ64" s="5"/>
      <c r="EK64" s="5"/>
      <c r="EL64" s="5"/>
      <c r="EM64" s="21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4"/>
    </row>
    <row r="65" spans="1:181" ht="15" x14ac:dyDescent="0.2">
      <c r="A65" s="4" t="s">
        <v>404</v>
      </c>
      <c r="B65" s="4" t="s">
        <v>1</v>
      </c>
      <c r="C65" s="4" t="s">
        <v>2</v>
      </c>
      <c r="D65" s="4" t="s">
        <v>3</v>
      </c>
      <c r="E65" s="5" t="s">
        <v>3</v>
      </c>
      <c r="F65" s="5" t="s">
        <v>405</v>
      </c>
      <c r="G65" s="5">
        <v>0.2</v>
      </c>
      <c r="H65" s="5">
        <v>0.01</v>
      </c>
      <c r="I65" s="5"/>
      <c r="J65" s="20"/>
      <c r="K65" s="5">
        <v>48.87</v>
      </c>
      <c r="L65" s="5">
        <v>1.01</v>
      </c>
      <c r="M65" s="5">
        <v>18.47</v>
      </c>
      <c r="N65" s="5">
        <v>2.09</v>
      </c>
      <c r="O65" s="5">
        <v>7.61</v>
      </c>
      <c r="P65" s="5">
        <v>0.22</v>
      </c>
      <c r="Q65" s="5">
        <v>4.92</v>
      </c>
      <c r="R65" s="5">
        <v>9.49</v>
      </c>
      <c r="S65" s="5">
        <v>2.91</v>
      </c>
      <c r="T65" s="5">
        <v>0.56000000000000005</v>
      </c>
      <c r="U65" s="5">
        <v>0.24</v>
      </c>
      <c r="V65" s="5">
        <v>2565</v>
      </c>
      <c r="W65" s="5">
        <v>207</v>
      </c>
      <c r="X65" s="5">
        <v>4.38</v>
      </c>
      <c r="Y65" s="5">
        <v>590</v>
      </c>
      <c r="Z65" s="20">
        <v>101.1</v>
      </c>
      <c r="AA65" s="5">
        <v>1049</v>
      </c>
      <c r="AB65" s="5">
        <v>1065</v>
      </c>
      <c r="AC65" s="5">
        <v>819</v>
      </c>
      <c r="AD65" s="5">
        <v>1049</v>
      </c>
      <c r="AE65" s="5">
        <v>0.4</v>
      </c>
      <c r="AF65" s="5">
        <v>0.32</v>
      </c>
      <c r="AG65" s="5">
        <v>317</v>
      </c>
      <c r="AH65" s="20">
        <v>12</v>
      </c>
      <c r="AI65" s="5">
        <v>1.93</v>
      </c>
      <c r="AJ65" s="5">
        <v>0.05</v>
      </c>
      <c r="AK65" s="5">
        <v>0.86</v>
      </c>
      <c r="AL65" s="5">
        <v>0.13</v>
      </c>
      <c r="AM65" s="5">
        <v>0.51</v>
      </c>
      <c r="AN65" s="5">
        <v>0.01</v>
      </c>
      <c r="AO65" s="5">
        <v>0.59</v>
      </c>
      <c r="AP65" s="5">
        <v>0.37</v>
      </c>
      <c r="AQ65" s="5">
        <v>0.15</v>
      </c>
      <c r="AR65" s="5">
        <v>0.03</v>
      </c>
      <c r="AS65" s="5">
        <v>0.01</v>
      </c>
      <c r="AT65" s="5">
        <v>112</v>
      </c>
      <c r="AU65" s="5">
        <v>49</v>
      </c>
      <c r="AV65" s="5">
        <v>0.3</v>
      </c>
      <c r="AW65" s="5">
        <v>39</v>
      </c>
      <c r="AX65" s="5">
        <v>9</v>
      </c>
      <c r="AY65" s="5">
        <v>21</v>
      </c>
      <c r="AZ65" s="5">
        <v>228</v>
      </c>
      <c r="BA65" s="5">
        <v>17</v>
      </c>
      <c r="BB65" s="5">
        <v>1.89</v>
      </c>
      <c r="BC65" s="5">
        <v>0</v>
      </c>
      <c r="BD65" s="5">
        <v>26</v>
      </c>
      <c r="BE65" s="20">
        <v>0.9</v>
      </c>
      <c r="BF65" s="5">
        <v>0.1</v>
      </c>
      <c r="BG65" s="5">
        <v>0</v>
      </c>
      <c r="BH65" s="5">
        <v>1.4</v>
      </c>
      <c r="BI65" s="5">
        <v>1.59</v>
      </c>
      <c r="BJ65" s="5"/>
      <c r="BK65" s="5"/>
      <c r="BL65" s="5"/>
      <c r="BM65" s="5">
        <v>670</v>
      </c>
      <c r="BN65" s="5">
        <v>125</v>
      </c>
      <c r="BO65" s="5">
        <v>1858</v>
      </c>
      <c r="BP65" s="5">
        <v>809</v>
      </c>
      <c r="BQ65" s="5"/>
      <c r="BR65" s="5"/>
      <c r="BS65" s="5">
        <v>327</v>
      </c>
      <c r="BT65" s="5">
        <v>39</v>
      </c>
      <c r="BU65" s="5">
        <v>517</v>
      </c>
      <c r="BV65" s="5">
        <v>126</v>
      </c>
      <c r="BW65" s="5"/>
      <c r="BX65" s="5"/>
      <c r="BY65" s="5">
        <v>12.4</v>
      </c>
      <c r="BZ65" s="5">
        <v>1.4</v>
      </c>
      <c r="CA65" s="5">
        <v>18.899999999999999</v>
      </c>
      <c r="CB65" s="20">
        <v>4.3</v>
      </c>
      <c r="CC65" s="5">
        <v>3.8</v>
      </c>
      <c r="CD65" s="5">
        <v>480</v>
      </c>
      <c r="CE65" s="20">
        <v>17.600000000000001</v>
      </c>
      <c r="CF65" s="5">
        <v>48.91</v>
      </c>
      <c r="CG65" s="5">
        <v>1.02</v>
      </c>
      <c r="CH65" s="5">
        <v>18.54</v>
      </c>
      <c r="CI65" s="5">
        <v>9.4499999999999993</v>
      </c>
      <c r="CJ65" s="5">
        <v>0.22</v>
      </c>
      <c r="CK65" s="5">
        <v>4.78</v>
      </c>
      <c r="CL65" s="5">
        <v>9.5299999999999994</v>
      </c>
      <c r="CM65" s="5">
        <v>2.92</v>
      </c>
      <c r="CN65" s="5">
        <v>0.56000000000000005</v>
      </c>
      <c r="CO65" s="5">
        <v>0.24</v>
      </c>
      <c r="CP65" s="5">
        <v>2575</v>
      </c>
      <c r="CQ65" s="5"/>
      <c r="CR65" s="5"/>
      <c r="CS65" s="5">
        <v>207</v>
      </c>
      <c r="CT65" s="5">
        <v>4.4000000000000004</v>
      </c>
      <c r="CU65" s="20">
        <v>593</v>
      </c>
      <c r="CV65" s="5">
        <v>2.4500000000000002</v>
      </c>
      <c r="CW65" s="5">
        <v>0.05</v>
      </c>
      <c r="CX65" s="5">
        <v>0.93</v>
      </c>
      <c r="CY65" s="5">
        <v>0.47</v>
      </c>
      <c r="CZ65" s="5">
        <v>0.01</v>
      </c>
      <c r="DA65" s="5">
        <v>0.24</v>
      </c>
      <c r="DB65" s="5">
        <v>0.48</v>
      </c>
      <c r="DC65" s="5">
        <v>0.15</v>
      </c>
      <c r="DD65" s="5">
        <v>0.03</v>
      </c>
      <c r="DE65" s="5">
        <v>0.01</v>
      </c>
      <c r="DF65" s="5">
        <v>129</v>
      </c>
      <c r="DG65" s="5"/>
      <c r="DH65" s="5"/>
      <c r="DI65" s="5">
        <v>10</v>
      </c>
      <c r="DJ65" s="5">
        <v>0.22</v>
      </c>
      <c r="DK65" s="20">
        <v>30</v>
      </c>
      <c r="DL65" s="5"/>
      <c r="DM65" s="5"/>
      <c r="DN65" s="5"/>
      <c r="DO65" s="5"/>
      <c r="DP65" s="5"/>
      <c r="DQ65" s="20">
        <v>78.2</v>
      </c>
      <c r="DR65" s="5"/>
      <c r="DS65" s="5"/>
      <c r="DT65" s="5"/>
      <c r="DU65" s="5"/>
      <c r="DV65" s="5"/>
      <c r="DW65" s="20">
        <v>2</v>
      </c>
      <c r="DX65" s="5"/>
      <c r="DY65" s="5"/>
      <c r="DZ65" s="5"/>
      <c r="EA65" s="5"/>
      <c r="EB65" s="5">
        <v>96</v>
      </c>
      <c r="EC65" s="5"/>
      <c r="ED65" s="5"/>
      <c r="EE65" s="5"/>
      <c r="EF65" s="5"/>
      <c r="EG65" s="20"/>
      <c r="EH65" s="5"/>
      <c r="EI65" s="5"/>
      <c r="EJ65" s="5"/>
      <c r="EK65" s="5"/>
      <c r="EL65" s="5"/>
      <c r="EM65" s="21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4"/>
    </row>
    <row r="66" spans="1:181" ht="15" x14ac:dyDescent="0.2">
      <c r="A66" s="4" t="s">
        <v>406</v>
      </c>
      <c r="B66" s="4" t="s">
        <v>1</v>
      </c>
      <c r="C66" s="4" t="s">
        <v>2</v>
      </c>
      <c r="D66" s="4" t="s">
        <v>3</v>
      </c>
      <c r="E66" s="5" t="s">
        <v>3</v>
      </c>
      <c r="F66" s="5" t="s">
        <v>405</v>
      </c>
      <c r="G66" s="5">
        <v>0.2</v>
      </c>
      <c r="H66" s="5">
        <v>0.01</v>
      </c>
      <c r="I66" s="5"/>
      <c r="J66" s="20"/>
      <c r="K66" s="5">
        <v>54.19</v>
      </c>
      <c r="L66" s="5">
        <v>1.25</v>
      </c>
      <c r="M66" s="5">
        <v>16.7</v>
      </c>
      <c r="N66" s="5">
        <v>2.0099999999999998</v>
      </c>
      <c r="O66" s="5">
        <v>7.65</v>
      </c>
      <c r="P66" s="5">
        <v>0.17</v>
      </c>
      <c r="Q66" s="5">
        <v>3.59</v>
      </c>
      <c r="R66" s="5">
        <v>7.23</v>
      </c>
      <c r="S66" s="5">
        <v>4.26</v>
      </c>
      <c r="T66" s="5">
        <v>0.96</v>
      </c>
      <c r="U66" s="5">
        <v>0.31</v>
      </c>
      <c r="V66" s="5">
        <v>1337</v>
      </c>
      <c r="W66" s="5">
        <v>1238</v>
      </c>
      <c r="X66" s="5">
        <v>3.53</v>
      </c>
      <c r="Y66" s="5">
        <v>215</v>
      </c>
      <c r="Z66" s="20">
        <v>102.1</v>
      </c>
      <c r="AA66" s="5">
        <v>1021</v>
      </c>
      <c r="AB66" s="5">
        <v>1039</v>
      </c>
      <c r="AC66" s="5">
        <v>809</v>
      </c>
      <c r="AD66" s="5">
        <v>1021</v>
      </c>
      <c r="AE66" s="5">
        <v>1.6</v>
      </c>
      <c r="AF66" s="5">
        <v>0.31</v>
      </c>
      <c r="AG66" s="5">
        <v>184</v>
      </c>
      <c r="AH66" s="20">
        <v>7.3</v>
      </c>
      <c r="AI66" s="5">
        <v>2.87</v>
      </c>
      <c r="AJ66" s="5">
        <v>0.05</v>
      </c>
      <c r="AK66" s="5">
        <v>0.88</v>
      </c>
      <c r="AL66" s="5">
        <v>0.15</v>
      </c>
      <c r="AM66" s="5">
        <v>0.56999999999999995</v>
      </c>
      <c r="AN66" s="5">
        <v>0.01</v>
      </c>
      <c r="AO66" s="5">
        <v>0.56000000000000005</v>
      </c>
      <c r="AP66" s="5">
        <v>0.34</v>
      </c>
      <c r="AQ66" s="5">
        <v>0.24</v>
      </c>
      <c r="AR66" s="5">
        <v>0.05</v>
      </c>
      <c r="AS66" s="5">
        <v>0.02</v>
      </c>
      <c r="AT66" s="5">
        <v>69</v>
      </c>
      <c r="AU66" s="5">
        <v>63</v>
      </c>
      <c r="AV66" s="5">
        <v>0.2</v>
      </c>
      <c r="AW66" s="5">
        <v>11</v>
      </c>
      <c r="AX66" s="5">
        <v>7</v>
      </c>
      <c r="AY66" s="5">
        <v>22</v>
      </c>
      <c r="AZ66" s="5">
        <v>185</v>
      </c>
      <c r="BA66" s="5">
        <v>15</v>
      </c>
      <c r="BB66" s="5">
        <v>1.78</v>
      </c>
      <c r="BC66" s="5">
        <v>0</v>
      </c>
      <c r="BD66" s="5">
        <v>14</v>
      </c>
      <c r="BE66" s="20">
        <v>0.5</v>
      </c>
      <c r="BF66" s="5">
        <v>0.2</v>
      </c>
      <c r="BG66" s="5">
        <v>0.3</v>
      </c>
      <c r="BH66" s="5">
        <v>1</v>
      </c>
      <c r="BI66" s="5">
        <v>0.95</v>
      </c>
      <c r="BJ66" s="5"/>
      <c r="BK66" s="5"/>
      <c r="BL66" s="5"/>
      <c r="BM66" s="5">
        <v>321</v>
      </c>
      <c r="BN66" s="5">
        <v>152</v>
      </c>
      <c r="BO66" s="5">
        <v>754</v>
      </c>
      <c r="BP66" s="5">
        <v>397</v>
      </c>
      <c r="BQ66" s="5"/>
      <c r="BR66" s="5"/>
      <c r="BS66" s="5">
        <v>202</v>
      </c>
      <c r="BT66" s="5">
        <v>28</v>
      </c>
      <c r="BU66" s="5">
        <v>291</v>
      </c>
      <c r="BV66" s="5">
        <v>72</v>
      </c>
      <c r="BW66" s="5"/>
      <c r="BX66" s="5"/>
      <c r="BY66" s="5">
        <v>7.9</v>
      </c>
      <c r="BZ66" s="5">
        <v>1</v>
      </c>
      <c r="CA66" s="5">
        <v>11.1</v>
      </c>
      <c r="CB66" s="20">
        <v>2.5</v>
      </c>
      <c r="CC66" s="5">
        <v>4.4000000000000004</v>
      </c>
      <c r="CD66" s="5">
        <v>351</v>
      </c>
      <c r="CE66" s="20">
        <v>13.2</v>
      </c>
      <c r="CF66" s="5">
        <v>54.43</v>
      </c>
      <c r="CG66" s="5">
        <v>1.27</v>
      </c>
      <c r="CH66" s="5">
        <v>16.96</v>
      </c>
      <c r="CI66" s="5">
        <v>9.19</v>
      </c>
      <c r="CJ66" s="5">
        <v>0.17</v>
      </c>
      <c r="CK66" s="5">
        <v>3.07</v>
      </c>
      <c r="CL66" s="5">
        <v>7.34</v>
      </c>
      <c r="CM66" s="5">
        <v>4.32</v>
      </c>
      <c r="CN66" s="5">
        <v>0.98</v>
      </c>
      <c r="CO66" s="5">
        <v>0.31</v>
      </c>
      <c r="CP66" s="5">
        <v>1358</v>
      </c>
      <c r="CQ66" s="5"/>
      <c r="CR66" s="5"/>
      <c r="CS66" s="5">
        <v>1257</v>
      </c>
      <c r="CT66" s="5">
        <v>3.59</v>
      </c>
      <c r="CU66" s="20">
        <v>219</v>
      </c>
      <c r="CV66" s="5">
        <v>2.72</v>
      </c>
      <c r="CW66" s="5">
        <v>0.06</v>
      </c>
      <c r="CX66" s="5">
        <v>0.85</v>
      </c>
      <c r="CY66" s="5">
        <v>0.46</v>
      </c>
      <c r="CZ66" s="5">
        <v>0.01</v>
      </c>
      <c r="DA66" s="5">
        <v>0.15</v>
      </c>
      <c r="DB66" s="5">
        <v>0.37</v>
      </c>
      <c r="DC66" s="5">
        <v>0.22</v>
      </c>
      <c r="DD66" s="5">
        <v>0.05</v>
      </c>
      <c r="DE66" s="5">
        <v>0.02</v>
      </c>
      <c r="DF66" s="5">
        <v>68</v>
      </c>
      <c r="DG66" s="5"/>
      <c r="DH66" s="5"/>
      <c r="DI66" s="5">
        <v>63</v>
      </c>
      <c r="DJ66" s="5">
        <v>0.18</v>
      </c>
      <c r="DK66" s="20">
        <v>11</v>
      </c>
      <c r="DL66" s="5"/>
      <c r="DM66" s="5"/>
      <c r="DN66" s="5"/>
      <c r="DO66" s="5"/>
      <c r="DP66" s="5"/>
      <c r="DQ66" s="20">
        <v>73</v>
      </c>
      <c r="DR66" s="5"/>
      <c r="DS66" s="5"/>
      <c r="DT66" s="5"/>
      <c r="DU66" s="5"/>
      <c r="DV66" s="5"/>
      <c r="DW66" s="20">
        <v>2</v>
      </c>
      <c r="DX66" s="5"/>
      <c r="DY66" s="5"/>
      <c r="DZ66" s="5"/>
      <c r="EA66" s="5"/>
      <c r="EB66" s="5">
        <v>72</v>
      </c>
      <c r="EC66" s="5"/>
      <c r="ED66" s="5"/>
      <c r="EE66" s="5"/>
      <c r="EF66" s="5"/>
      <c r="EG66" s="20"/>
      <c r="EH66" s="5"/>
      <c r="EI66" s="5"/>
      <c r="EJ66" s="5"/>
      <c r="EK66" s="5"/>
      <c r="EL66" s="5"/>
      <c r="EM66" s="21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4"/>
    </row>
    <row r="67" spans="1:181" ht="15" x14ac:dyDescent="0.2">
      <c r="A67" s="4" t="s">
        <v>407</v>
      </c>
      <c r="B67" s="4" t="s">
        <v>1</v>
      </c>
      <c r="C67" s="4" t="s">
        <v>2</v>
      </c>
      <c r="D67" s="4" t="s">
        <v>3</v>
      </c>
      <c r="E67" s="5" t="s">
        <v>3</v>
      </c>
      <c r="F67" s="5" t="s">
        <v>405</v>
      </c>
      <c r="G67" s="5">
        <v>0.2</v>
      </c>
      <c r="H67" s="5">
        <v>0.01</v>
      </c>
      <c r="I67" s="5"/>
      <c r="J67" s="20"/>
      <c r="K67" s="5">
        <v>48.69</v>
      </c>
      <c r="L67" s="5">
        <v>1.0900000000000001</v>
      </c>
      <c r="M67" s="5">
        <v>18.8</v>
      </c>
      <c r="N67" s="5">
        <v>2.12</v>
      </c>
      <c r="O67" s="5">
        <v>7.62</v>
      </c>
      <c r="P67" s="5">
        <v>0.14000000000000001</v>
      </c>
      <c r="Q67" s="5">
        <v>4.37</v>
      </c>
      <c r="R67" s="5">
        <v>9.8699999999999992</v>
      </c>
      <c r="S67" s="5">
        <v>3.26</v>
      </c>
      <c r="T67" s="5">
        <v>0.57999999999999996</v>
      </c>
      <c r="U67" s="5">
        <v>0.16</v>
      </c>
      <c r="V67" s="5">
        <v>2962</v>
      </c>
      <c r="W67" s="5">
        <v>1028</v>
      </c>
      <c r="X67" s="5">
        <v>4.28</v>
      </c>
      <c r="Y67" s="5">
        <v>559</v>
      </c>
      <c r="Z67" s="20">
        <v>101.4</v>
      </c>
      <c r="AA67" s="5">
        <v>1039</v>
      </c>
      <c r="AB67" s="5">
        <v>1048</v>
      </c>
      <c r="AC67" s="5">
        <v>807</v>
      </c>
      <c r="AD67" s="5">
        <v>1039</v>
      </c>
      <c r="AE67" s="5">
        <v>-0.1</v>
      </c>
      <c r="AF67" s="5">
        <v>0.32</v>
      </c>
      <c r="AG67" s="5">
        <v>295</v>
      </c>
      <c r="AH67" s="20">
        <v>11.3</v>
      </c>
      <c r="AI67" s="5">
        <v>1.97</v>
      </c>
      <c r="AJ67" s="5">
        <v>0.05</v>
      </c>
      <c r="AK67" s="5">
        <v>1.1200000000000001</v>
      </c>
      <c r="AL67" s="5">
        <v>0.13</v>
      </c>
      <c r="AM67" s="5">
        <v>0.57999999999999996</v>
      </c>
      <c r="AN67" s="5">
        <v>0.01</v>
      </c>
      <c r="AO67" s="5">
        <v>0.73</v>
      </c>
      <c r="AP67" s="5">
        <v>0.66</v>
      </c>
      <c r="AQ67" s="5">
        <v>0.17</v>
      </c>
      <c r="AR67" s="5">
        <v>0.03</v>
      </c>
      <c r="AS67" s="5">
        <v>0.01</v>
      </c>
      <c r="AT67" s="5">
        <v>160</v>
      </c>
      <c r="AU67" s="5">
        <v>63</v>
      </c>
      <c r="AV67" s="5">
        <v>0.2</v>
      </c>
      <c r="AW67" s="5">
        <v>33</v>
      </c>
      <c r="AX67" s="5">
        <v>8</v>
      </c>
      <c r="AY67" s="5">
        <v>27</v>
      </c>
      <c r="AZ67" s="5">
        <v>205</v>
      </c>
      <c r="BA67" s="5">
        <v>14</v>
      </c>
      <c r="BB67" s="5">
        <v>2.1800000000000002</v>
      </c>
      <c r="BC67" s="5">
        <v>0.01</v>
      </c>
      <c r="BD67" s="5">
        <v>24</v>
      </c>
      <c r="BE67" s="20">
        <v>0.8</v>
      </c>
      <c r="BF67" s="5">
        <v>0</v>
      </c>
      <c r="BG67" s="5">
        <v>0.1</v>
      </c>
      <c r="BH67" s="5">
        <v>1.4</v>
      </c>
      <c r="BI67" s="5">
        <v>1.52</v>
      </c>
      <c r="BJ67" s="5"/>
      <c r="BK67" s="5"/>
      <c r="BL67" s="5"/>
      <c r="BM67" s="5">
        <v>559</v>
      </c>
      <c r="BN67" s="5">
        <v>161</v>
      </c>
      <c r="BO67" s="5">
        <v>1723</v>
      </c>
      <c r="BP67" s="5">
        <v>716</v>
      </c>
      <c r="BQ67" s="5"/>
      <c r="BR67" s="5"/>
      <c r="BS67" s="5">
        <v>295</v>
      </c>
      <c r="BT67" s="5">
        <v>46</v>
      </c>
      <c r="BU67" s="5">
        <v>477</v>
      </c>
      <c r="BV67" s="5">
        <v>119</v>
      </c>
      <c r="BW67" s="5"/>
      <c r="BX67" s="5"/>
      <c r="BY67" s="5">
        <v>11.3</v>
      </c>
      <c r="BZ67" s="5">
        <v>1.6</v>
      </c>
      <c r="CA67" s="5">
        <v>17.5</v>
      </c>
      <c r="CB67" s="20">
        <v>4.0999999999999996</v>
      </c>
      <c r="CC67" s="5">
        <v>3.7</v>
      </c>
      <c r="CD67" s="5">
        <v>437</v>
      </c>
      <c r="CE67" s="20">
        <v>16.2</v>
      </c>
      <c r="CF67" s="5">
        <v>48.68</v>
      </c>
      <c r="CG67" s="5">
        <v>1.0900000000000001</v>
      </c>
      <c r="CH67" s="5">
        <v>18.79</v>
      </c>
      <c r="CI67" s="5">
        <v>9.5399999999999991</v>
      </c>
      <c r="CJ67" s="5">
        <v>0.14000000000000001</v>
      </c>
      <c r="CK67" s="5">
        <v>4.3899999999999997</v>
      </c>
      <c r="CL67" s="5">
        <v>9.86</v>
      </c>
      <c r="CM67" s="5">
        <v>3.25</v>
      </c>
      <c r="CN67" s="5">
        <v>0.57999999999999996</v>
      </c>
      <c r="CO67" s="5">
        <v>0.16</v>
      </c>
      <c r="CP67" s="5">
        <v>2960</v>
      </c>
      <c r="CQ67" s="5"/>
      <c r="CR67" s="5"/>
      <c r="CS67" s="5">
        <v>1027</v>
      </c>
      <c r="CT67" s="5">
        <v>4.2699999999999996</v>
      </c>
      <c r="CU67" s="20">
        <v>558</v>
      </c>
      <c r="CV67" s="5">
        <v>2.4300000000000002</v>
      </c>
      <c r="CW67" s="5">
        <v>0.05</v>
      </c>
      <c r="CX67" s="5">
        <v>0.94</v>
      </c>
      <c r="CY67" s="5">
        <v>0.48</v>
      </c>
      <c r="CZ67" s="5">
        <v>0.01</v>
      </c>
      <c r="DA67" s="5">
        <v>0.22</v>
      </c>
      <c r="DB67" s="5">
        <v>0.49</v>
      </c>
      <c r="DC67" s="5">
        <v>0.16</v>
      </c>
      <c r="DD67" s="5">
        <v>0.03</v>
      </c>
      <c r="DE67" s="5">
        <v>0.01</v>
      </c>
      <c r="DF67" s="5">
        <v>148</v>
      </c>
      <c r="DG67" s="5"/>
      <c r="DH67" s="5"/>
      <c r="DI67" s="5">
        <v>51</v>
      </c>
      <c r="DJ67" s="5">
        <v>0.21</v>
      </c>
      <c r="DK67" s="20">
        <v>28</v>
      </c>
      <c r="DL67" s="5"/>
      <c r="DM67" s="5"/>
      <c r="DN67" s="5"/>
      <c r="DO67" s="5"/>
      <c r="DP67" s="5"/>
      <c r="DQ67" s="20">
        <v>76.400000000000006</v>
      </c>
      <c r="DR67" s="5"/>
      <c r="DS67" s="5"/>
      <c r="DT67" s="5"/>
      <c r="DU67" s="5"/>
      <c r="DV67" s="5"/>
      <c r="DW67" s="20">
        <v>2</v>
      </c>
      <c r="DX67" s="5"/>
      <c r="DY67" s="5"/>
      <c r="DZ67" s="5"/>
      <c r="EA67" s="5"/>
      <c r="EB67" s="5">
        <v>124</v>
      </c>
      <c r="EC67" s="5"/>
      <c r="ED67" s="5"/>
      <c r="EE67" s="5"/>
      <c r="EF67" s="5"/>
      <c r="EG67" s="20"/>
      <c r="EH67" s="5"/>
      <c r="EI67" s="5"/>
      <c r="EJ67" s="5"/>
      <c r="EK67" s="5"/>
      <c r="EL67" s="5"/>
      <c r="EM67" s="21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4"/>
    </row>
    <row r="68" spans="1:181" ht="15" x14ac:dyDescent="0.2">
      <c r="A68" s="4" t="s">
        <v>408</v>
      </c>
      <c r="B68" s="4" t="s">
        <v>1</v>
      </c>
      <c r="C68" s="4" t="s">
        <v>2</v>
      </c>
      <c r="D68" s="4" t="s">
        <v>3</v>
      </c>
      <c r="E68" s="5" t="s">
        <v>3</v>
      </c>
      <c r="F68" s="5" t="s">
        <v>405</v>
      </c>
      <c r="G68" s="5">
        <v>0.2</v>
      </c>
      <c r="H68" s="5">
        <v>0.01</v>
      </c>
      <c r="I68" s="5"/>
      <c r="J68" s="20"/>
      <c r="K68" s="5">
        <v>56.92</v>
      </c>
      <c r="L68" s="5">
        <v>0.98</v>
      </c>
      <c r="M68" s="5">
        <v>16.46</v>
      </c>
      <c r="N68" s="5">
        <v>1.59</v>
      </c>
      <c r="O68" s="5">
        <v>7.67</v>
      </c>
      <c r="P68" s="5">
        <v>0.12</v>
      </c>
      <c r="Q68" s="5">
        <v>4.13</v>
      </c>
      <c r="R68" s="5">
        <v>6.73</v>
      </c>
      <c r="S68" s="5">
        <v>3.74</v>
      </c>
      <c r="T68" s="5">
        <v>1.06</v>
      </c>
      <c r="U68" s="5">
        <v>0.4</v>
      </c>
      <c r="V68" s="5">
        <v>1032</v>
      </c>
      <c r="W68" s="5">
        <v>1360</v>
      </c>
      <c r="X68" s="5">
        <v>3.03</v>
      </c>
      <c r="Y68" s="5">
        <v>239</v>
      </c>
      <c r="Z68" s="20">
        <v>103.1</v>
      </c>
      <c r="AA68" s="5">
        <v>971</v>
      </c>
      <c r="AB68" s="5">
        <v>1073</v>
      </c>
      <c r="AC68" s="5">
        <v>751</v>
      </c>
      <c r="AD68" s="5">
        <v>971</v>
      </c>
      <c r="AE68" s="5">
        <v>7.3</v>
      </c>
      <c r="AF68" s="5">
        <v>0.36</v>
      </c>
      <c r="AG68" s="5">
        <v>174</v>
      </c>
      <c r="AH68" s="20">
        <v>6.9</v>
      </c>
      <c r="AI68" s="5">
        <v>2.76</v>
      </c>
      <c r="AJ68" s="5">
        <v>0.04</v>
      </c>
      <c r="AK68" s="5">
        <v>1.01</v>
      </c>
      <c r="AL68" s="5">
        <v>0.1</v>
      </c>
      <c r="AM68" s="5">
        <v>0.44</v>
      </c>
      <c r="AN68" s="5">
        <v>0.01</v>
      </c>
      <c r="AO68" s="5">
        <v>0.54</v>
      </c>
      <c r="AP68" s="5">
        <v>0.34</v>
      </c>
      <c r="AQ68" s="5">
        <v>0.17</v>
      </c>
      <c r="AR68" s="5">
        <v>0.06</v>
      </c>
      <c r="AS68" s="5">
        <v>0.02</v>
      </c>
      <c r="AT68" s="5">
        <v>46</v>
      </c>
      <c r="AU68" s="5">
        <v>65</v>
      </c>
      <c r="AV68" s="5">
        <v>0.1</v>
      </c>
      <c r="AW68" s="5">
        <v>14</v>
      </c>
      <c r="AX68" s="5">
        <v>7</v>
      </c>
      <c r="AY68" s="5">
        <v>25</v>
      </c>
      <c r="AZ68" s="5">
        <v>167</v>
      </c>
      <c r="BA68" s="5">
        <v>13</v>
      </c>
      <c r="BB68" s="5">
        <v>1.8</v>
      </c>
      <c r="BC68" s="5">
        <v>0</v>
      </c>
      <c r="BD68" s="5">
        <v>10</v>
      </c>
      <c r="BE68" s="20">
        <v>0.4</v>
      </c>
      <c r="BF68" s="5">
        <v>1.5</v>
      </c>
      <c r="BG68" s="5">
        <v>0.4</v>
      </c>
      <c r="BH68" s="5">
        <v>1.3</v>
      </c>
      <c r="BI68" s="5">
        <v>0.67</v>
      </c>
      <c r="BJ68" s="5"/>
      <c r="BK68" s="5"/>
      <c r="BL68" s="5"/>
      <c r="BM68" s="5">
        <v>1185</v>
      </c>
      <c r="BN68" s="5">
        <v>195</v>
      </c>
      <c r="BO68" s="5">
        <v>1063</v>
      </c>
      <c r="BP68" s="5">
        <v>367</v>
      </c>
      <c r="BQ68" s="5"/>
      <c r="BR68" s="5"/>
      <c r="BS68" s="5">
        <v>334</v>
      </c>
      <c r="BT68" s="5">
        <v>28</v>
      </c>
      <c r="BU68" s="5">
        <v>312</v>
      </c>
      <c r="BV68" s="5">
        <v>65</v>
      </c>
      <c r="BW68" s="5"/>
      <c r="BX68" s="5"/>
      <c r="BY68" s="5">
        <v>12.6</v>
      </c>
      <c r="BZ68" s="5">
        <v>1</v>
      </c>
      <c r="CA68" s="5">
        <v>11.9</v>
      </c>
      <c r="CB68" s="20">
        <v>2.2999999999999998</v>
      </c>
      <c r="CC68" s="5">
        <v>3.6</v>
      </c>
      <c r="CD68" s="5">
        <v>351</v>
      </c>
      <c r="CE68" s="20">
        <v>13.2</v>
      </c>
      <c r="CF68" s="5">
        <v>58.24</v>
      </c>
      <c r="CG68" s="5">
        <v>1.05</v>
      </c>
      <c r="CH68" s="5">
        <v>17.63</v>
      </c>
      <c r="CI68" s="5">
        <v>7.64</v>
      </c>
      <c r="CJ68" s="5">
        <v>0.13</v>
      </c>
      <c r="CK68" s="5">
        <v>1.94</v>
      </c>
      <c r="CL68" s="5">
        <v>7.21</v>
      </c>
      <c r="CM68" s="5">
        <v>4.01</v>
      </c>
      <c r="CN68" s="5">
        <v>1.1399999999999999</v>
      </c>
      <c r="CO68" s="5">
        <v>0.42</v>
      </c>
      <c r="CP68" s="5">
        <v>1106</v>
      </c>
      <c r="CQ68" s="5"/>
      <c r="CR68" s="5"/>
      <c r="CS68" s="5">
        <v>1457</v>
      </c>
      <c r="CT68" s="5">
        <v>3.24</v>
      </c>
      <c r="CU68" s="20">
        <v>256</v>
      </c>
      <c r="CV68" s="5">
        <v>2.91</v>
      </c>
      <c r="CW68" s="5">
        <v>0.05</v>
      </c>
      <c r="CX68" s="5">
        <v>0.88</v>
      </c>
      <c r="CY68" s="5">
        <v>0.38</v>
      </c>
      <c r="CZ68" s="5">
        <v>0.01</v>
      </c>
      <c r="DA68" s="5">
        <v>0.1</v>
      </c>
      <c r="DB68" s="5">
        <v>0.36</v>
      </c>
      <c r="DC68" s="5">
        <v>0.2</v>
      </c>
      <c r="DD68" s="5">
        <v>0.06</v>
      </c>
      <c r="DE68" s="5">
        <v>0.02</v>
      </c>
      <c r="DF68" s="5">
        <v>55</v>
      </c>
      <c r="DG68" s="5"/>
      <c r="DH68" s="5"/>
      <c r="DI68" s="5">
        <v>73</v>
      </c>
      <c r="DJ68" s="5">
        <v>0.16</v>
      </c>
      <c r="DK68" s="20">
        <v>13</v>
      </c>
      <c r="DL68" s="5"/>
      <c r="DM68" s="5"/>
      <c r="DN68" s="5"/>
      <c r="DO68" s="5"/>
      <c r="DP68" s="5"/>
      <c r="DQ68" s="20">
        <v>72.900000000000006</v>
      </c>
      <c r="DR68" s="5"/>
      <c r="DS68" s="5"/>
      <c r="DT68" s="5"/>
      <c r="DU68" s="5"/>
      <c r="DV68" s="5"/>
      <c r="DW68" s="20">
        <v>2</v>
      </c>
      <c r="DX68" s="5"/>
      <c r="DY68" s="5"/>
      <c r="DZ68" s="5"/>
      <c r="EA68" s="5"/>
      <c r="EB68" s="5">
        <v>44</v>
      </c>
      <c r="EC68" s="5"/>
      <c r="ED68" s="5"/>
      <c r="EE68" s="5"/>
      <c r="EF68" s="5"/>
      <c r="EG68" s="20"/>
      <c r="EH68" s="5"/>
      <c r="EI68" s="5"/>
      <c r="EJ68" s="5"/>
      <c r="EK68" s="5"/>
      <c r="EL68" s="5"/>
      <c r="EM68" s="21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4"/>
    </row>
    <row r="69" spans="1:181" ht="15" x14ac:dyDescent="0.2">
      <c r="A69" s="4" t="s">
        <v>409</v>
      </c>
      <c r="B69" s="4" t="s">
        <v>1</v>
      </c>
      <c r="C69" s="4" t="s">
        <v>2</v>
      </c>
      <c r="D69" s="4" t="s">
        <v>3</v>
      </c>
      <c r="E69" s="5" t="s">
        <v>3</v>
      </c>
      <c r="F69" s="5" t="s">
        <v>405</v>
      </c>
      <c r="G69" s="5">
        <v>0.2</v>
      </c>
      <c r="H69" s="5">
        <v>0.01</v>
      </c>
      <c r="I69" s="5"/>
      <c r="J69" s="20"/>
      <c r="K69" s="5">
        <v>56.69</v>
      </c>
      <c r="L69" s="5">
        <v>1.02</v>
      </c>
      <c r="M69" s="5">
        <v>16.41</v>
      </c>
      <c r="N69" s="5">
        <v>1.72</v>
      </c>
      <c r="O69" s="5">
        <v>7.35</v>
      </c>
      <c r="P69" s="5">
        <v>0.14000000000000001</v>
      </c>
      <c r="Q69" s="5">
        <v>4.0199999999999996</v>
      </c>
      <c r="R69" s="5">
        <v>6.75</v>
      </c>
      <c r="S69" s="5">
        <v>3.91</v>
      </c>
      <c r="T69" s="5">
        <v>1.1100000000000001</v>
      </c>
      <c r="U69" s="5">
        <v>0.36</v>
      </c>
      <c r="V69" s="5">
        <v>917</v>
      </c>
      <c r="W69" s="5">
        <v>1331</v>
      </c>
      <c r="X69" s="5">
        <v>3.22</v>
      </c>
      <c r="Y69" s="5">
        <v>271</v>
      </c>
      <c r="Z69" s="20">
        <v>102.9</v>
      </c>
      <c r="AA69" s="5">
        <v>1000</v>
      </c>
      <c r="AB69" s="5">
        <v>1066</v>
      </c>
      <c r="AC69" s="5">
        <v>788</v>
      </c>
      <c r="AD69" s="5">
        <v>1000</v>
      </c>
      <c r="AE69" s="5">
        <v>4.5999999999999996</v>
      </c>
      <c r="AF69" s="5">
        <v>0.35</v>
      </c>
      <c r="AG69" s="5">
        <v>185</v>
      </c>
      <c r="AH69" s="20">
        <v>7.3</v>
      </c>
      <c r="AI69" s="5">
        <v>2.59</v>
      </c>
      <c r="AJ69" s="5">
        <v>0.05</v>
      </c>
      <c r="AK69" s="5">
        <v>1.0900000000000001</v>
      </c>
      <c r="AL69" s="5">
        <v>0.13</v>
      </c>
      <c r="AM69" s="5">
        <v>0.64</v>
      </c>
      <c r="AN69" s="5">
        <v>0.01</v>
      </c>
      <c r="AO69" s="5">
        <v>0.66</v>
      </c>
      <c r="AP69" s="5">
        <v>0.39</v>
      </c>
      <c r="AQ69" s="5">
        <v>0.21</v>
      </c>
      <c r="AR69" s="5">
        <v>0.06</v>
      </c>
      <c r="AS69" s="5">
        <v>0.02</v>
      </c>
      <c r="AT69" s="5">
        <v>42</v>
      </c>
      <c r="AU69" s="5">
        <v>82</v>
      </c>
      <c r="AV69" s="5">
        <v>0.2</v>
      </c>
      <c r="AW69" s="5">
        <v>15</v>
      </c>
      <c r="AX69" s="5">
        <v>7</v>
      </c>
      <c r="AY69" s="5">
        <v>26</v>
      </c>
      <c r="AZ69" s="5">
        <v>179</v>
      </c>
      <c r="BA69" s="5">
        <v>15</v>
      </c>
      <c r="BB69" s="5">
        <v>2.21</v>
      </c>
      <c r="BC69" s="5">
        <v>0</v>
      </c>
      <c r="BD69" s="5">
        <v>14</v>
      </c>
      <c r="BE69" s="20">
        <v>0.5</v>
      </c>
      <c r="BF69" s="5">
        <v>1</v>
      </c>
      <c r="BG69" s="5">
        <v>0.4</v>
      </c>
      <c r="BH69" s="5">
        <v>1.1000000000000001</v>
      </c>
      <c r="BI69" s="5">
        <v>0.76</v>
      </c>
      <c r="BJ69" s="5"/>
      <c r="BK69" s="5"/>
      <c r="BL69" s="5"/>
      <c r="BM69" s="5">
        <v>904</v>
      </c>
      <c r="BN69" s="5">
        <v>244</v>
      </c>
      <c r="BO69" s="5">
        <v>999</v>
      </c>
      <c r="BP69" s="5">
        <v>406</v>
      </c>
      <c r="BQ69" s="5"/>
      <c r="BR69" s="5"/>
      <c r="BS69" s="5">
        <v>296</v>
      </c>
      <c r="BT69" s="5">
        <v>42</v>
      </c>
      <c r="BU69" s="5">
        <v>313</v>
      </c>
      <c r="BV69" s="5">
        <v>75</v>
      </c>
      <c r="BW69" s="5"/>
      <c r="BX69" s="5"/>
      <c r="BY69" s="5">
        <v>11.3</v>
      </c>
      <c r="BZ69" s="5">
        <v>1.5</v>
      </c>
      <c r="CA69" s="5">
        <v>11.9</v>
      </c>
      <c r="CB69" s="20">
        <v>2.6</v>
      </c>
      <c r="CC69" s="5">
        <v>4.4000000000000004</v>
      </c>
      <c r="CD69" s="5">
        <v>393</v>
      </c>
      <c r="CE69" s="20">
        <v>14.6</v>
      </c>
      <c r="CF69" s="5">
        <v>57.5</v>
      </c>
      <c r="CG69" s="5">
        <v>1.06</v>
      </c>
      <c r="CH69" s="5">
        <v>17.14</v>
      </c>
      <c r="CI69" s="5">
        <v>8.07</v>
      </c>
      <c r="CJ69" s="5">
        <v>0.14000000000000001</v>
      </c>
      <c r="CK69" s="5">
        <v>2.57</v>
      </c>
      <c r="CL69" s="5">
        <v>7.05</v>
      </c>
      <c r="CM69" s="5">
        <v>4.09</v>
      </c>
      <c r="CN69" s="5">
        <v>1.1599999999999999</v>
      </c>
      <c r="CO69" s="5">
        <v>0.38</v>
      </c>
      <c r="CP69" s="5">
        <v>958</v>
      </c>
      <c r="CQ69" s="5"/>
      <c r="CR69" s="5"/>
      <c r="CS69" s="5">
        <v>1390</v>
      </c>
      <c r="CT69" s="5">
        <v>3.36</v>
      </c>
      <c r="CU69" s="20">
        <v>283</v>
      </c>
      <c r="CV69" s="5">
        <v>2.87</v>
      </c>
      <c r="CW69" s="5">
        <v>0.05</v>
      </c>
      <c r="CX69" s="5">
        <v>0.86</v>
      </c>
      <c r="CY69" s="5">
        <v>0.4</v>
      </c>
      <c r="CZ69" s="5">
        <v>0.01</v>
      </c>
      <c r="DA69" s="5">
        <v>0.13</v>
      </c>
      <c r="DB69" s="5">
        <v>0.35</v>
      </c>
      <c r="DC69" s="5">
        <v>0.2</v>
      </c>
      <c r="DD69" s="5">
        <v>0.06</v>
      </c>
      <c r="DE69" s="5">
        <v>0.02</v>
      </c>
      <c r="DF69" s="5">
        <v>48</v>
      </c>
      <c r="DG69" s="5"/>
      <c r="DH69" s="5"/>
      <c r="DI69" s="5">
        <v>70</v>
      </c>
      <c r="DJ69" s="5">
        <v>0.17</v>
      </c>
      <c r="DK69" s="20">
        <v>14</v>
      </c>
      <c r="DL69" s="5"/>
      <c r="DM69" s="5"/>
      <c r="DN69" s="5"/>
      <c r="DO69" s="5"/>
      <c r="DP69" s="5"/>
      <c r="DQ69" s="20">
        <v>73.3</v>
      </c>
      <c r="DR69" s="5"/>
      <c r="DS69" s="5"/>
      <c r="DT69" s="5"/>
      <c r="DU69" s="5"/>
      <c r="DV69" s="5"/>
      <c r="DW69" s="20">
        <v>2</v>
      </c>
      <c r="DX69" s="5"/>
      <c r="DY69" s="5"/>
      <c r="DZ69" s="5"/>
      <c r="EA69" s="5"/>
      <c r="EB69" s="5">
        <v>45</v>
      </c>
      <c r="EC69" s="5"/>
      <c r="ED69" s="5"/>
      <c r="EE69" s="5"/>
      <c r="EF69" s="5"/>
      <c r="EG69" s="20"/>
      <c r="EH69" s="5"/>
      <c r="EI69" s="5"/>
      <c r="EJ69" s="5"/>
      <c r="EK69" s="5"/>
      <c r="EL69" s="5"/>
      <c r="EM69" s="21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4"/>
    </row>
    <row r="70" spans="1:181" ht="15" x14ac:dyDescent="0.2">
      <c r="A70" s="4" t="s">
        <v>410</v>
      </c>
      <c r="B70" s="4" t="s">
        <v>1</v>
      </c>
      <c r="C70" s="4" t="s">
        <v>411</v>
      </c>
      <c r="D70" s="4" t="s">
        <v>3</v>
      </c>
      <c r="E70" s="5" t="s">
        <v>3</v>
      </c>
      <c r="F70" s="5" t="s">
        <v>346</v>
      </c>
      <c r="G70" s="5">
        <v>0.2</v>
      </c>
      <c r="H70" s="5">
        <v>0.01</v>
      </c>
      <c r="I70" s="5">
        <v>1.5</v>
      </c>
      <c r="J70" s="20">
        <v>0.3</v>
      </c>
      <c r="K70" s="5">
        <v>49.73</v>
      </c>
      <c r="L70" s="5">
        <v>0.74</v>
      </c>
      <c r="M70" s="5">
        <v>17.559999999999999</v>
      </c>
      <c r="N70" s="5">
        <v>2.21</v>
      </c>
      <c r="O70" s="5">
        <v>8.2100000000000009</v>
      </c>
      <c r="P70" s="5">
        <v>0.22</v>
      </c>
      <c r="Q70" s="5">
        <v>4.16</v>
      </c>
      <c r="R70" s="5">
        <v>8.98</v>
      </c>
      <c r="S70" s="5">
        <v>2.96</v>
      </c>
      <c r="T70" s="5">
        <v>0.56000000000000005</v>
      </c>
      <c r="U70" s="5">
        <v>0.34</v>
      </c>
      <c r="V70" s="5">
        <v>2472</v>
      </c>
      <c r="W70" s="5">
        <v>1217</v>
      </c>
      <c r="X70" s="5">
        <v>4.2699999999999996</v>
      </c>
      <c r="Y70" s="5">
        <v>508</v>
      </c>
      <c r="Z70" s="20">
        <v>100.3</v>
      </c>
      <c r="AA70" s="5">
        <v>1028</v>
      </c>
      <c r="AB70" s="5">
        <v>1054</v>
      </c>
      <c r="AC70" s="5">
        <v>736</v>
      </c>
      <c r="AD70" s="5">
        <v>974</v>
      </c>
      <c r="AE70" s="5">
        <v>1.1000000000000001</v>
      </c>
      <c r="AF70" s="5">
        <v>0.33</v>
      </c>
      <c r="AG70" s="5">
        <v>302</v>
      </c>
      <c r="AH70" s="20">
        <v>11.5</v>
      </c>
      <c r="AI70" s="5">
        <v>2.83</v>
      </c>
      <c r="AJ70" s="5">
        <v>0.03</v>
      </c>
      <c r="AK70" s="5">
        <v>0.76</v>
      </c>
      <c r="AL70" s="5">
        <v>0.14000000000000001</v>
      </c>
      <c r="AM70" s="5">
        <v>0.72</v>
      </c>
      <c r="AN70" s="5">
        <v>0.01</v>
      </c>
      <c r="AO70" s="5">
        <v>0.68</v>
      </c>
      <c r="AP70" s="5">
        <v>0.51</v>
      </c>
      <c r="AQ70" s="5">
        <v>0.14000000000000001</v>
      </c>
      <c r="AR70" s="5">
        <v>0.02</v>
      </c>
      <c r="AS70" s="5">
        <v>0.02</v>
      </c>
      <c r="AT70" s="5">
        <v>143</v>
      </c>
      <c r="AU70" s="5">
        <v>72</v>
      </c>
      <c r="AV70" s="5">
        <v>0.2</v>
      </c>
      <c r="AW70" s="5">
        <v>28</v>
      </c>
      <c r="AX70" s="5">
        <v>6</v>
      </c>
      <c r="AY70" s="5">
        <v>25</v>
      </c>
      <c r="AZ70" s="5">
        <v>113</v>
      </c>
      <c r="BA70" s="5">
        <v>121</v>
      </c>
      <c r="BB70" s="5">
        <v>2.19</v>
      </c>
      <c r="BC70" s="5">
        <v>0</v>
      </c>
      <c r="BD70" s="5">
        <v>24</v>
      </c>
      <c r="BE70" s="20">
        <v>0.8</v>
      </c>
      <c r="BF70" s="5">
        <v>0.2</v>
      </c>
      <c r="BG70" s="5">
        <v>0.3</v>
      </c>
      <c r="BH70" s="5">
        <v>1.9</v>
      </c>
      <c r="BI70" s="5">
        <v>1.28</v>
      </c>
      <c r="BJ70" s="5">
        <v>2334</v>
      </c>
      <c r="BK70" s="5">
        <v>2069</v>
      </c>
      <c r="BL70" s="5">
        <v>490</v>
      </c>
      <c r="BM70" s="5">
        <v>708</v>
      </c>
      <c r="BN70" s="5">
        <v>201</v>
      </c>
      <c r="BO70" s="5">
        <v>2008</v>
      </c>
      <c r="BP70" s="5">
        <v>537</v>
      </c>
      <c r="BQ70" s="5">
        <v>556</v>
      </c>
      <c r="BR70" s="5">
        <v>104</v>
      </c>
      <c r="BS70" s="5">
        <v>334</v>
      </c>
      <c r="BT70" s="5">
        <v>47</v>
      </c>
      <c r="BU70" s="5">
        <v>547</v>
      </c>
      <c r="BV70" s="5">
        <v>104</v>
      </c>
      <c r="BW70" s="5">
        <v>20.2</v>
      </c>
      <c r="BX70" s="5">
        <v>3.6</v>
      </c>
      <c r="BY70" s="5">
        <v>12.6</v>
      </c>
      <c r="BZ70" s="5">
        <v>1.6</v>
      </c>
      <c r="CA70" s="5">
        <v>19.899999999999999</v>
      </c>
      <c r="CB70" s="20">
        <v>3.6</v>
      </c>
      <c r="CC70" s="5">
        <v>4.3</v>
      </c>
      <c r="CD70" s="5">
        <v>549</v>
      </c>
      <c r="CE70" s="20">
        <v>20</v>
      </c>
      <c r="CF70" s="5">
        <v>49.85</v>
      </c>
      <c r="CG70" s="5">
        <v>0.75</v>
      </c>
      <c r="CH70" s="5">
        <v>17.75</v>
      </c>
      <c r="CI70" s="5">
        <v>10.039999999999999</v>
      </c>
      <c r="CJ70" s="5">
        <v>0.22</v>
      </c>
      <c r="CK70" s="5">
        <v>3.8</v>
      </c>
      <c r="CL70" s="5">
        <v>9.07</v>
      </c>
      <c r="CM70" s="5">
        <v>2.99</v>
      </c>
      <c r="CN70" s="5">
        <v>0.56000000000000005</v>
      </c>
      <c r="CO70" s="5">
        <v>0.34</v>
      </c>
      <c r="CP70" s="5">
        <v>2498</v>
      </c>
      <c r="CQ70" s="5"/>
      <c r="CR70" s="5"/>
      <c r="CS70" s="5">
        <v>1230</v>
      </c>
      <c r="CT70" s="5">
        <v>4.3099999999999996</v>
      </c>
      <c r="CU70" s="20">
        <v>514</v>
      </c>
      <c r="CV70" s="5">
        <v>2.4900000000000002</v>
      </c>
      <c r="CW70" s="5">
        <v>0.04</v>
      </c>
      <c r="CX70" s="5">
        <v>0.89</v>
      </c>
      <c r="CY70" s="5">
        <v>0.5</v>
      </c>
      <c r="CZ70" s="5">
        <v>0.01</v>
      </c>
      <c r="DA70" s="5">
        <v>0.19</v>
      </c>
      <c r="DB70" s="5">
        <v>0.45</v>
      </c>
      <c r="DC70" s="5">
        <v>0.15</v>
      </c>
      <c r="DD70" s="5">
        <v>0.03</v>
      </c>
      <c r="DE70" s="5">
        <v>0.02</v>
      </c>
      <c r="DF70" s="5">
        <v>125</v>
      </c>
      <c r="DG70" s="5"/>
      <c r="DH70" s="5"/>
      <c r="DI70" s="5">
        <v>62</v>
      </c>
      <c r="DJ70" s="5">
        <v>0.22</v>
      </c>
      <c r="DK70" s="20">
        <v>26</v>
      </c>
      <c r="DL70" s="5"/>
      <c r="DM70" s="5"/>
      <c r="DN70" s="5"/>
      <c r="DO70" s="5"/>
      <c r="DP70" s="5"/>
      <c r="DQ70" s="20">
        <v>73.3</v>
      </c>
      <c r="DR70" s="5"/>
      <c r="DS70" s="5"/>
      <c r="DT70" s="5"/>
      <c r="DU70" s="5"/>
      <c r="DV70" s="5"/>
      <c r="DW70" s="20">
        <v>2</v>
      </c>
      <c r="DX70" s="5"/>
      <c r="DY70" s="5"/>
      <c r="DZ70" s="5"/>
      <c r="EA70" s="5"/>
      <c r="EB70" s="5">
        <v>105</v>
      </c>
      <c r="EC70" s="5">
        <v>86</v>
      </c>
      <c r="ED70" s="5"/>
      <c r="EE70" s="5"/>
      <c r="EF70" s="5">
        <v>29.1</v>
      </c>
      <c r="EG70" s="20">
        <v>2.86</v>
      </c>
      <c r="EH70" s="5"/>
      <c r="EI70" s="5"/>
      <c r="EJ70" s="5"/>
      <c r="EK70" s="5"/>
      <c r="EL70" s="5"/>
      <c r="EM70" s="21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4"/>
    </row>
    <row r="71" spans="1:181" ht="15" x14ac:dyDescent="0.2">
      <c r="A71" s="4" t="s">
        <v>412</v>
      </c>
      <c r="B71" s="4" t="s">
        <v>1</v>
      </c>
      <c r="C71" s="4" t="s">
        <v>411</v>
      </c>
      <c r="D71" s="4" t="s">
        <v>3</v>
      </c>
      <c r="E71" s="5" t="s">
        <v>3</v>
      </c>
      <c r="F71" s="5" t="s">
        <v>346</v>
      </c>
      <c r="G71" s="5">
        <v>0.2</v>
      </c>
      <c r="H71" s="5">
        <v>0.01</v>
      </c>
      <c r="I71" s="5">
        <v>1.5</v>
      </c>
      <c r="J71" s="20">
        <v>0.3</v>
      </c>
      <c r="K71" s="5">
        <v>49.09</v>
      </c>
      <c r="L71" s="5">
        <v>1.0900000000000001</v>
      </c>
      <c r="M71" s="5">
        <v>19.21</v>
      </c>
      <c r="N71" s="5">
        <v>1.91</v>
      </c>
      <c r="O71" s="5">
        <v>6.91</v>
      </c>
      <c r="P71" s="5">
        <v>0.14000000000000001</v>
      </c>
      <c r="Q71" s="5">
        <v>3.86</v>
      </c>
      <c r="R71" s="5">
        <v>9.6300000000000008</v>
      </c>
      <c r="S71" s="5">
        <v>3.26</v>
      </c>
      <c r="T71" s="5">
        <v>0.63</v>
      </c>
      <c r="U71" s="5">
        <v>0.34</v>
      </c>
      <c r="V71" s="5">
        <v>2642</v>
      </c>
      <c r="W71" s="5">
        <v>1306</v>
      </c>
      <c r="X71" s="5">
        <v>4.72</v>
      </c>
      <c r="Y71" s="5">
        <v>696</v>
      </c>
      <c r="Z71" s="20">
        <v>101.2</v>
      </c>
      <c r="AA71" s="5">
        <v>1016</v>
      </c>
      <c r="AB71" s="5">
        <v>1033</v>
      </c>
      <c r="AC71" s="5">
        <v>745</v>
      </c>
      <c r="AD71" s="5">
        <v>999</v>
      </c>
      <c r="AE71" s="5">
        <v>0.2</v>
      </c>
      <c r="AF71" s="5">
        <v>0.32</v>
      </c>
      <c r="AG71" s="5">
        <v>375</v>
      </c>
      <c r="AH71" s="20">
        <v>14</v>
      </c>
      <c r="AI71" s="5">
        <v>2.29</v>
      </c>
      <c r="AJ71" s="5">
        <v>0.05</v>
      </c>
      <c r="AK71" s="5">
        <v>1</v>
      </c>
      <c r="AL71" s="5">
        <v>0.13</v>
      </c>
      <c r="AM71" s="5">
        <v>0.51</v>
      </c>
      <c r="AN71" s="5">
        <v>0.01</v>
      </c>
      <c r="AO71" s="5">
        <v>0.66</v>
      </c>
      <c r="AP71" s="5">
        <v>0.52</v>
      </c>
      <c r="AQ71" s="5">
        <v>0.17</v>
      </c>
      <c r="AR71" s="5">
        <v>0.03</v>
      </c>
      <c r="AS71" s="5">
        <v>0.02</v>
      </c>
      <c r="AT71" s="5">
        <v>123</v>
      </c>
      <c r="AU71" s="5">
        <v>80</v>
      </c>
      <c r="AV71" s="5">
        <v>0.2</v>
      </c>
      <c r="AW71" s="5">
        <v>35</v>
      </c>
      <c r="AX71" s="5">
        <v>6</v>
      </c>
      <c r="AY71" s="5">
        <v>25</v>
      </c>
      <c r="AZ71" s="5">
        <v>143</v>
      </c>
      <c r="BA71" s="5">
        <v>128</v>
      </c>
      <c r="BB71" s="5">
        <v>1.97</v>
      </c>
      <c r="BC71" s="5">
        <v>0.01</v>
      </c>
      <c r="BD71" s="5">
        <v>21</v>
      </c>
      <c r="BE71" s="20">
        <v>0.7</v>
      </c>
      <c r="BF71" s="5">
        <v>0.1</v>
      </c>
      <c r="BG71" s="5">
        <v>0.2</v>
      </c>
      <c r="BH71" s="5">
        <v>2</v>
      </c>
      <c r="BI71" s="5">
        <v>1.67</v>
      </c>
      <c r="BJ71" s="5"/>
      <c r="BK71" s="5">
        <v>2395</v>
      </c>
      <c r="BL71" s="5">
        <v>531</v>
      </c>
      <c r="BM71" s="5">
        <v>751</v>
      </c>
      <c r="BN71" s="5">
        <v>220</v>
      </c>
      <c r="BO71" s="5">
        <v>2451</v>
      </c>
      <c r="BP71" s="5">
        <v>678</v>
      </c>
      <c r="BQ71" s="5">
        <v>636</v>
      </c>
      <c r="BR71" s="5">
        <v>109</v>
      </c>
      <c r="BS71" s="5">
        <v>383</v>
      </c>
      <c r="BT71" s="5">
        <v>49</v>
      </c>
      <c r="BU71" s="5">
        <v>643</v>
      </c>
      <c r="BV71" s="5">
        <v>117</v>
      </c>
      <c r="BW71" s="5">
        <v>23</v>
      </c>
      <c r="BX71" s="5">
        <v>3.7</v>
      </c>
      <c r="BY71" s="5">
        <v>14.3</v>
      </c>
      <c r="BZ71" s="5">
        <v>1.7</v>
      </c>
      <c r="CA71" s="5">
        <v>23.2</v>
      </c>
      <c r="CB71" s="20">
        <v>4</v>
      </c>
      <c r="CC71" s="5">
        <v>4.0999999999999996</v>
      </c>
      <c r="CD71" s="5">
        <v>601</v>
      </c>
      <c r="CE71" s="20">
        <v>21.8</v>
      </c>
      <c r="CF71" s="5">
        <v>49.11</v>
      </c>
      <c r="CG71" s="5">
        <v>1.0900000000000001</v>
      </c>
      <c r="CH71" s="5">
        <v>19.239999999999998</v>
      </c>
      <c r="CI71" s="5">
        <v>8.61</v>
      </c>
      <c r="CJ71" s="5">
        <v>0.14000000000000001</v>
      </c>
      <c r="CK71" s="5">
        <v>3.8</v>
      </c>
      <c r="CL71" s="5">
        <v>9.64</v>
      </c>
      <c r="CM71" s="5">
        <v>3.26</v>
      </c>
      <c r="CN71" s="5">
        <v>0.63</v>
      </c>
      <c r="CO71" s="5">
        <v>0.34</v>
      </c>
      <c r="CP71" s="5">
        <v>2646</v>
      </c>
      <c r="CQ71" s="5"/>
      <c r="CR71" s="5"/>
      <c r="CS71" s="5">
        <v>1308</v>
      </c>
      <c r="CT71" s="5">
        <v>4.72</v>
      </c>
      <c r="CU71" s="20">
        <v>697</v>
      </c>
      <c r="CV71" s="5">
        <v>2.46</v>
      </c>
      <c r="CW71" s="5">
        <v>0.05</v>
      </c>
      <c r="CX71" s="5">
        <v>0.96</v>
      </c>
      <c r="CY71" s="5">
        <v>0.43</v>
      </c>
      <c r="CZ71" s="5">
        <v>0.01</v>
      </c>
      <c r="DA71" s="5">
        <v>0.19</v>
      </c>
      <c r="DB71" s="5">
        <v>0.48</v>
      </c>
      <c r="DC71" s="5">
        <v>0.16</v>
      </c>
      <c r="DD71" s="5">
        <v>0.03</v>
      </c>
      <c r="DE71" s="5">
        <v>0.02</v>
      </c>
      <c r="DF71" s="5">
        <v>132</v>
      </c>
      <c r="DG71" s="5"/>
      <c r="DH71" s="5"/>
      <c r="DI71" s="5">
        <v>65</v>
      </c>
      <c r="DJ71" s="5">
        <v>0.24</v>
      </c>
      <c r="DK71" s="20">
        <v>35</v>
      </c>
      <c r="DL71" s="5"/>
      <c r="DM71" s="5"/>
      <c r="DN71" s="5"/>
      <c r="DO71" s="5"/>
      <c r="DP71" s="5"/>
      <c r="DQ71" s="20">
        <v>75.8</v>
      </c>
      <c r="DR71" s="5"/>
      <c r="DS71" s="5"/>
      <c r="DT71" s="5"/>
      <c r="DU71" s="5"/>
      <c r="DV71" s="5"/>
      <c r="DW71" s="20">
        <v>2</v>
      </c>
      <c r="DX71" s="5"/>
      <c r="DY71" s="5"/>
      <c r="DZ71" s="5"/>
      <c r="EA71" s="5"/>
      <c r="EB71" s="5">
        <v>132</v>
      </c>
      <c r="EC71" s="5">
        <v>112</v>
      </c>
      <c r="ED71" s="5"/>
      <c r="EE71" s="5"/>
      <c r="EF71" s="5">
        <v>37.5</v>
      </c>
      <c r="EG71" s="20">
        <v>2.9</v>
      </c>
      <c r="EH71" s="5"/>
      <c r="EI71" s="5"/>
      <c r="EJ71" s="5"/>
      <c r="EK71" s="5"/>
      <c r="EL71" s="5"/>
      <c r="EM71" s="21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4"/>
    </row>
    <row r="72" spans="1:181" ht="15" x14ac:dyDescent="0.2">
      <c r="A72" s="4" t="s">
        <v>413</v>
      </c>
      <c r="B72" s="4" t="s">
        <v>1</v>
      </c>
      <c r="C72" s="4" t="s">
        <v>411</v>
      </c>
      <c r="D72" s="4" t="s">
        <v>3</v>
      </c>
      <c r="E72" s="5" t="s">
        <v>3</v>
      </c>
      <c r="F72" s="5" t="s">
        <v>346</v>
      </c>
      <c r="G72" s="5">
        <v>0.2</v>
      </c>
      <c r="H72" s="5">
        <v>0.01</v>
      </c>
      <c r="I72" s="5">
        <v>1.5</v>
      </c>
      <c r="J72" s="20">
        <v>0.3</v>
      </c>
      <c r="K72" s="5">
        <v>52.55</v>
      </c>
      <c r="L72" s="5">
        <v>1.0900000000000001</v>
      </c>
      <c r="M72" s="5">
        <v>16</v>
      </c>
      <c r="N72" s="5">
        <v>2.14</v>
      </c>
      <c r="O72" s="5">
        <v>7.54</v>
      </c>
      <c r="P72" s="5">
        <v>0.2</v>
      </c>
      <c r="Q72" s="5">
        <v>3.71</v>
      </c>
      <c r="R72" s="5">
        <v>7.89</v>
      </c>
      <c r="S72" s="5">
        <v>3.39</v>
      </c>
      <c r="T72" s="5">
        <v>0.78</v>
      </c>
      <c r="U72" s="5">
        <v>0.41</v>
      </c>
      <c r="V72" s="5">
        <v>1622</v>
      </c>
      <c r="W72" s="5">
        <v>1253</v>
      </c>
      <c r="X72" s="5">
        <v>4.0199999999999996</v>
      </c>
      <c r="Y72" s="5">
        <v>268</v>
      </c>
      <c r="Z72" s="20">
        <v>100</v>
      </c>
      <c r="AA72" s="5">
        <v>1038</v>
      </c>
      <c r="AB72" s="5">
        <v>1038</v>
      </c>
      <c r="AC72" s="5">
        <v>805</v>
      </c>
      <c r="AD72" s="5">
        <v>1013</v>
      </c>
      <c r="AE72" s="5">
        <v>-0.7</v>
      </c>
      <c r="AF72" s="5">
        <v>0.32</v>
      </c>
      <c r="AG72" s="5">
        <v>223</v>
      </c>
      <c r="AH72" s="20">
        <v>8.6999999999999993</v>
      </c>
      <c r="AI72" s="5">
        <v>2.82</v>
      </c>
      <c r="AJ72" s="5">
        <v>0.05</v>
      </c>
      <c r="AK72" s="5">
        <v>0.79</v>
      </c>
      <c r="AL72" s="5">
        <v>0.15</v>
      </c>
      <c r="AM72" s="5">
        <v>0.48</v>
      </c>
      <c r="AN72" s="5">
        <v>0.02</v>
      </c>
      <c r="AO72" s="5">
        <v>0.49</v>
      </c>
      <c r="AP72" s="5">
        <v>0.45</v>
      </c>
      <c r="AQ72" s="5">
        <v>0.19</v>
      </c>
      <c r="AR72" s="5">
        <v>0.04</v>
      </c>
      <c r="AS72" s="5">
        <v>0.02</v>
      </c>
      <c r="AT72" s="5">
        <v>97</v>
      </c>
      <c r="AU72" s="5">
        <v>68</v>
      </c>
      <c r="AV72" s="5">
        <v>0.2</v>
      </c>
      <c r="AW72" s="5">
        <v>12</v>
      </c>
      <c r="AX72" s="5">
        <v>7</v>
      </c>
      <c r="AY72" s="5">
        <v>18</v>
      </c>
      <c r="AZ72" s="5">
        <v>147</v>
      </c>
      <c r="BA72" s="5">
        <v>144</v>
      </c>
      <c r="BB72" s="5">
        <v>1.6</v>
      </c>
      <c r="BC72" s="5">
        <v>0.01</v>
      </c>
      <c r="BD72" s="5">
        <v>14</v>
      </c>
      <c r="BE72" s="20">
        <v>0.5</v>
      </c>
      <c r="BF72" s="5">
        <v>0</v>
      </c>
      <c r="BG72" s="5">
        <v>0.2</v>
      </c>
      <c r="BH72" s="5">
        <v>1.2</v>
      </c>
      <c r="BI72" s="5">
        <v>1.1299999999999999</v>
      </c>
      <c r="BJ72" s="5"/>
      <c r="BK72" s="5">
        <v>956</v>
      </c>
      <c r="BL72" s="5">
        <v>171</v>
      </c>
      <c r="BM72" s="5">
        <v>268</v>
      </c>
      <c r="BN72" s="5">
        <v>28</v>
      </c>
      <c r="BO72" s="5">
        <v>932</v>
      </c>
      <c r="BP72" s="5">
        <v>396</v>
      </c>
      <c r="BQ72" s="5">
        <v>363</v>
      </c>
      <c r="BR72" s="5">
        <v>29</v>
      </c>
      <c r="BS72" s="5">
        <v>223</v>
      </c>
      <c r="BT72" s="5">
        <v>16</v>
      </c>
      <c r="BU72" s="5">
        <v>359</v>
      </c>
      <c r="BV72" s="5">
        <v>78</v>
      </c>
      <c r="BW72" s="5">
        <v>13.6</v>
      </c>
      <c r="BX72" s="5">
        <v>1</v>
      </c>
      <c r="BY72" s="5">
        <v>8.6999999999999993</v>
      </c>
      <c r="BZ72" s="5">
        <v>0.6</v>
      </c>
      <c r="CA72" s="5">
        <v>13.5</v>
      </c>
      <c r="CB72" s="20">
        <v>2.7</v>
      </c>
      <c r="CC72" s="5">
        <v>4.4000000000000004</v>
      </c>
      <c r="CD72" s="5">
        <v>385</v>
      </c>
      <c r="CE72" s="20">
        <v>14.4</v>
      </c>
      <c r="CF72" s="5">
        <v>52.46</v>
      </c>
      <c r="CG72" s="5">
        <v>1.08</v>
      </c>
      <c r="CH72" s="5">
        <v>15.9</v>
      </c>
      <c r="CI72" s="5">
        <v>9.56</v>
      </c>
      <c r="CJ72" s="5">
        <v>0.2</v>
      </c>
      <c r="CK72" s="5">
        <v>3.93</v>
      </c>
      <c r="CL72" s="5">
        <v>7.84</v>
      </c>
      <c r="CM72" s="5">
        <v>3.36</v>
      </c>
      <c r="CN72" s="5">
        <v>0.78</v>
      </c>
      <c r="CO72" s="5">
        <v>0.41</v>
      </c>
      <c r="CP72" s="5">
        <v>1611</v>
      </c>
      <c r="CQ72" s="5"/>
      <c r="CR72" s="5"/>
      <c r="CS72" s="5">
        <v>1245</v>
      </c>
      <c r="CT72" s="5">
        <v>3.99</v>
      </c>
      <c r="CU72" s="20">
        <v>267</v>
      </c>
      <c r="CV72" s="5">
        <v>2.62</v>
      </c>
      <c r="CW72" s="5">
        <v>0.05</v>
      </c>
      <c r="CX72" s="5">
        <v>0.79</v>
      </c>
      <c r="CY72" s="5">
        <v>0.48</v>
      </c>
      <c r="CZ72" s="5">
        <v>0.01</v>
      </c>
      <c r="DA72" s="5">
        <v>0.2</v>
      </c>
      <c r="DB72" s="5">
        <v>0.39</v>
      </c>
      <c r="DC72" s="5">
        <v>0.17</v>
      </c>
      <c r="DD72" s="5">
        <v>0.04</v>
      </c>
      <c r="DE72" s="5">
        <v>0.02</v>
      </c>
      <c r="DF72" s="5">
        <v>81</v>
      </c>
      <c r="DG72" s="5"/>
      <c r="DH72" s="5"/>
      <c r="DI72" s="5">
        <v>62</v>
      </c>
      <c r="DJ72" s="5">
        <v>0.2</v>
      </c>
      <c r="DK72" s="20">
        <v>13</v>
      </c>
      <c r="DL72" s="5"/>
      <c r="DM72" s="5"/>
      <c r="DN72" s="5"/>
      <c r="DO72" s="5"/>
      <c r="DP72" s="5"/>
      <c r="DQ72" s="20">
        <v>73.2</v>
      </c>
      <c r="DR72" s="5"/>
      <c r="DS72" s="5"/>
      <c r="DT72" s="5"/>
      <c r="DU72" s="5"/>
      <c r="DV72" s="5"/>
      <c r="DW72" s="20">
        <v>2</v>
      </c>
      <c r="DX72" s="5"/>
      <c r="DY72" s="5"/>
      <c r="DZ72" s="5"/>
      <c r="EA72" s="5"/>
      <c r="EB72" s="5">
        <v>144</v>
      </c>
      <c r="EC72" s="5">
        <v>139</v>
      </c>
      <c r="ED72" s="5"/>
      <c r="EE72" s="5"/>
      <c r="EF72" s="5">
        <v>37.200000000000003</v>
      </c>
      <c r="EG72" s="20">
        <v>1.82</v>
      </c>
      <c r="EH72" s="5"/>
      <c r="EI72" s="5"/>
      <c r="EJ72" s="5"/>
      <c r="EK72" s="5"/>
      <c r="EL72" s="5"/>
      <c r="EM72" s="21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4"/>
    </row>
    <row r="73" spans="1:181" ht="15" x14ac:dyDescent="0.2">
      <c r="A73" s="4" t="s">
        <v>414</v>
      </c>
      <c r="B73" s="4" t="s">
        <v>1</v>
      </c>
      <c r="C73" s="4" t="s">
        <v>411</v>
      </c>
      <c r="D73" s="4" t="s">
        <v>3</v>
      </c>
      <c r="E73" s="5" t="s">
        <v>3</v>
      </c>
      <c r="F73" s="5" t="s">
        <v>346</v>
      </c>
      <c r="G73" s="5">
        <v>0.2</v>
      </c>
      <c r="H73" s="5">
        <v>0.01</v>
      </c>
      <c r="I73" s="5">
        <v>1.5</v>
      </c>
      <c r="J73" s="20">
        <v>0.3</v>
      </c>
      <c r="K73" s="5">
        <v>49.95</v>
      </c>
      <c r="L73" s="5">
        <v>0.72</v>
      </c>
      <c r="M73" s="5">
        <v>17.55</v>
      </c>
      <c r="N73" s="5">
        <v>2.2400000000000002</v>
      </c>
      <c r="O73" s="5">
        <v>8.35</v>
      </c>
      <c r="P73" s="5">
        <v>0.19</v>
      </c>
      <c r="Q73" s="5">
        <v>4.3499999999999996</v>
      </c>
      <c r="R73" s="5">
        <v>8.6300000000000008</v>
      </c>
      <c r="S73" s="5">
        <v>2.77</v>
      </c>
      <c r="T73" s="5">
        <v>0.57999999999999996</v>
      </c>
      <c r="U73" s="5">
        <v>0.35</v>
      </c>
      <c r="V73" s="5">
        <v>2461</v>
      </c>
      <c r="W73" s="5">
        <v>1258</v>
      </c>
      <c r="X73" s="5">
        <v>4.12</v>
      </c>
      <c r="Y73" s="5">
        <v>489</v>
      </c>
      <c r="Z73" s="20">
        <v>100.2</v>
      </c>
      <c r="AA73" s="5">
        <v>1035</v>
      </c>
      <c r="AB73" s="5">
        <v>1064</v>
      </c>
      <c r="AC73" s="5">
        <v>684</v>
      </c>
      <c r="AD73" s="5">
        <v>927</v>
      </c>
      <c r="AE73" s="5">
        <v>1.2</v>
      </c>
      <c r="AF73" s="5">
        <v>0.33</v>
      </c>
      <c r="AG73" s="5">
        <v>286</v>
      </c>
      <c r="AH73" s="20">
        <v>10.9</v>
      </c>
      <c r="AI73" s="5">
        <v>2.2000000000000002</v>
      </c>
      <c r="AJ73" s="5">
        <v>0.04</v>
      </c>
      <c r="AK73" s="5">
        <v>0.91</v>
      </c>
      <c r="AL73" s="5">
        <v>0.14000000000000001</v>
      </c>
      <c r="AM73" s="5">
        <v>0.67</v>
      </c>
      <c r="AN73" s="5">
        <v>0.01</v>
      </c>
      <c r="AO73" s="5">
        <v>0.76</v>
      </c>
      <c r="AP73" s="5">
        <v>0.47</v>
      </c>
      <c r="AQ73" s="5">
        <v>0.18</v>
      </c>
      <c r="AR73" s="5">
        <v>0.04</v>
      </c>
      <c r="AS73" s="5">
        <v>0.02</v>
      </c>
      <c r="AT73" s="5">
        <v>147</v>
      </c>
      <c r="AU73" s="5">
        <v>52</v>
      </c>
      <c r="AV73" s="5">
        <v>0.2</v>
      </c>
      <c r="AW73" s="5">
        <v>24</v>
      </c>
      <c r="AX73" s="5">
        <v>6</v>
      </c>
      <c r="AY73" s="5">
        <v>27</v>
      </c>
      <c r="AZ73" s="5">
        <v>116</v>
      </c>
      <c r="BA73" s="5">
        <v>96</v>
      </c>
      <c r="BB73" s="5">
        <v>2.4</v>
      </c>
      <c r="BC73" s="5">
        <v>0.01</v>
      </c>
      <c r="BD73" s="5">
        <v>18</v>
      </c>
      <c r="BE73" s="20">
        <v>0.6</v>
      </c>
      <c r="BF73" s="5">
        <v>0.2</v>
      </c>
      <c r="BG73" s="5">
        <v>0.2</v>
      </c>
      <c r="BH73" s="5">
        <v>2.4</v>
      </c>
      <c r="BI73" s="5">
        <v>1.44</v>
      </c>
      <c r="BJ73" s="5">
        <v>2598</v>
      </c>
      <c r="BK73" s="5">
        <v>2155</v>
      </c>
      <c r="BL73" s="5">
        <v>429</v>
      </c>
      <c r="BM73" s="5">
        <v>702</v>
      </c>
      <c r="BN73" s="5">
        <v>165</v>
      </c>
      <c r="BO73" s="5">
        <v>2198</v>
      </c>
      <c r="BP73" s="5">
        <v>486</v>
      </c>
      <c r="BQ73" s="5">
        <v>557</v>
      </c>
      <c r="BR73" s="5">
        <v>90</v>
      </c>
      <c r="BS73" s="5">
        <v>320</v>
      </c>
      <c r="BT73" s="5">
        <v>43</v>
      </c>
      <c r="BU73" s="5">
        <v>563</v>
      </c>
      <c r="BV73" s="5">
        <v>85</v>
      </c>
      <c r="BW73" s="5">
        <v>20.2</v>
      </c>
      <c r="BX73" s="5">
        <v>3.1</v>
      </c>
      <c r="BY73" s="5">
        <v>12.2</v>
      </c>
      <c r="BZ73" s="5">
        <v>1.5</v>
      </c>
      <c r="CA73" s="5">
        <v>20.5</v>
      </c>
      <c r="CB73" s="20">
        <v>2.9</v>
      </c>
      <c r="CC73" s="5">
        <v>4</v>
      </c>
      <c r="CD73" s="5">
        <v>558</v>
      </c>
      <c r="CE73" s="20">
        <v>20.3</v>
      </c>
      <c r="CF73" s="5">
        <v>50.09</v>
      </c>
      <c r="CG73" s="5">
        <v>0.73</v>
      </c>
      <c r="CH73" s="5">
        <v>17.77</v>
      </c>
      <c r="CI73" s="5">
        <v>10.19</v>
      </c>
      <c r="CJ73" s="5">
        <v>0.19</v>
      </c>
      <c r="CK73" s="5">
        <v>3.95</v>
      </c>
      <c r="CL73" s="5">
        <v>8.73</v>
      </c>
      <c r="CM73" s="5">
        <v>2.81</v>
      </c>
      <c r="CN73" s="5">
        <v>0.57999999999999996</v>
      </c>
      <c r="CO73" s="5">
        <v>0.35</v>
      </c>
      <c r="CP73" s="5">
        <v>2490</v>
      </c>
      <c r="CQ73" s="5"/>
      <c r="CR73" s="5"/>
      <c r="CS73" s="5">
        <v>1273</v>
      </c>
      <c r="CT73" s="5">
        <v>4.17</v>
      </c>
      <c r="CU73" s="20">
        <v>495</v>
      </c>
      <c r="CV73" s="5">
        <v>2.5</v>
      </c>
      <c r="CW73" s="5">
        <v>0.04</v>
      </c>
      <c r="CX73" s="5">
        <v>0.89</v>
      </c>
      <c r="CY73" s="5">
        <v>0.51</v>
      </c>
      <c r="CZ73" s="5">
        <v>0.01</v>
      </c>
      <c r="DA73" s="5">
        <v>0.2</v>
      </c>
      <c r="DB73" s="5">
        <v>0.44</v>
      </c>
      <c r="DC73" s="5">
        <v>0.14000000000000001</v>
      </c>
      <c r="DD73" s="5">
        <v>0.03</v>
      </c>
      <c r="DE73" s="5">
        <v>0.02</v>
      </c>
      <c r="DF73" s="5">
        <v>125</v>
      </c>
      <c r="DG73" s="5"/>
      <c r="DH73" s="5"/>
      <c r="DI73" s="5">
        <v>64</v>
      </c>
      <c r="DJ73" s="5">
        <v>0.21</v>
      </c>
      <c r="DK73" s="20">
        <v>25</v>
      </c>
      <c r="DL73" s="5"/>
      <c r="DM73" s="5"/>
      <c r="DN73" s="5"/>
      <c r="DO73" s="5"/>
      <c r="DP73" s="5"/>
      <c r="DQ73" s="20">
        <v>73.8</v>
      </c>
      <c r="DR73" s="5"/>
      <c r="DS73" s="5"/>
      <c r="DT73" s="5"/>
      <c r="DU73" s="5"/>
      <c r="DV73" s="5"/>
      <c r="DW73" s="20">
        <v>2</v>
      </c>
      <c r="DX73" s="5"/>
      <c r="DY73" s="5"/>
      <c r="DZ73" s="5"/>
      <c r="EA73" s="5"/>
      <c r="EB73" s="5">
        <v>63</v>
      </c>
      <c r="EC73" s="5">
        <v>52</v>
      </c>
      <c r="ED73" s="5"/>
      <c r="EE73" s="5"/>
      <c r="EF73" s="5">
        <v>17.8</v>
      </c>
      <c r="EG73" s="20">
        <v>2.94</v>
      </c>
      <c r="EH73" s="5"/>
      <c r="EI73" s="5"/>
      <c r="EJ73" s="5"/>
      <c r="EK73" s="5"/>
      <c r="EL73" s="5"/>
      <c r="EM73" s="21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4"/>
    </row>
    <row r="74" spans="1:181" ht="15" x14ac:dyDescent="0.2">
      <c r="A74" s="4" t="s">
        <v>415</v>
      </c>
      <c r="B74" s="4" t="s">
        <v>1</v>
      </c>
      <c r="C74" s="4" t="s">
        <v>411</v>
      </c>
      <c r="D74" s="4" t="s">
        <v>3</v>
      </c>
      <c r="E74" s="5" t="s">
        <v>3</v>
      </c>
      <c r="F74" s="5" t="s">
        <v>346</v>
      </c>
      <c r="G74" s="5">
        <v>0.2</v>
      </c>
      <c r="H74" s="5">
        <v>0.01</v>
      </c>
      <c r="I74" s="5">
        <v>1.5</v>
      </c>
      <c r="J74" s="20">
        <v>0.3</v>
      </c>
      <c r="K74" s="5">
        <v>51.79</v>
      </c>
      <c r="L74" s="5">
        <v>0.91</v>
      </c>
      <c r="M74" s="5">
        <v>16.78</v>
      </c>
      <c r="N74" s="5">
        <v>2.1800000000000002</v>
      </c>
      <c r="O74" s="5">
        <v>8.14</v>
      </c>
      <c r="P74" s="5">
        <v>0.21</v>
      </c>
      <c r="Q74" s="5">
        <v>3.99</v>
      </c>
      <c r="R74" s="5">
        <v>7.31</v>
      </c>
      <c r="S74" s="5">
        <v>3.82</v>
      </c>
      <c r="T74" s="5">
        <v>0.81</v>
      </c>
      <c r="U74" s="5">
        <v>0.44</v>
      </c>
      <c r="V74" s="5">
        <v>2086</v>
      </c>
      <c r="W74" s="5">
        <v>1529</v>
      </c>
      <c r="X74" s="5">
        <v>4.01</v>
      </c>
      <c r="Y74" s="5">
        <v>188</v>
      </c>
      <c r="Z74" s="20">
        <v>100.8</v>
      </c>
      <c r="AA74" s="5">
        <v>1030</v>
      </c>
      <c r="AB74" s="5">
        <v>1053</v>
      </c>
      <c r="AC74" s="5">
        <v>674</v>
      </c>
      <c r="AD74" s="5">
        <v>914</v>
      </c>
      <c r="AE74" s="5">
        <v>1.1000000000000001</v>
      </c>
      <c r="AF74" s="5">
        <v>0.32</v>
      </c>
      <c r="AG74" s="5">
        <v>212</v>
      </c>
      <c r="AH74" s="20">
        <v>8.3000000000000007</v>
      </c>
      <c r="AI74" s="5">
        <v>2.59</v>
      </c>
      <c r="AJ74" s="5">
        <v>0.04</v>
      </c>
      <c r="AK74" s="5">
        <v>0.82</v>
      </c>
      <c r="AL74" s="5">
        <v>0.16</v>
      </c>
      <c r="AM74" s="5">
        <v>0.59</v>
      </c>
      <c r="AN74" s="5">
        <v>0.01</v>
      </c>
      <c r="AO74" s="5">
        <v>0.59</v>
      </c>
      <c r="AP74" s="5">
        <v>0.43</v>
      </c>
      <c r="AQ74" s="5">
        <v>0.22</v>
      </c>
      <c r="AR74" s="5">
        <v>0.04</v>
      </c>
      <c r="AS74" s="5">
        <v>0.02</v>
      </c>
      <c r="AT74" s="5">
        <v>123</v>
      </c>
      <c r="AU74" s="5">
        <v>90</v>
      </c>
      <c r="AV74" s="5">
        <v>0.2</v>
      </c>
      <c r="AW74" s="5">
        <v>8</v>
      </c>
      <c r="AX74" s="5">
        <v>8</v>
      </c>
      <c r="AY74" s="5">
        <v>23</v>
      </c>
      <c r="AZ74" s="5">
        <v>116</v>
      </c>
      <c r="BA74" s="5">
        <v>113</v>
      </c>
      <c r="BB74" s="5">
        <v>1.58</v>
      </c>
      <c r="BC74" s="5">
        <v>0.01</v>
      </c>
      <c r="BD74" s="5">
        <v>15</v>
      </c>
      <c r="BE74" s="20">
        <v>0.5</v>
      </c>
      <c r="BF74" s="5">
        <v>0.2</v>
      </c>
      <c r="BG74" s="5">
        <v>0.2</v>
      </c>
      <c r="BH74" s="5">
        <v>2.7</v>
      </c>
      <c r="BI74" s="5">
        <v>1.41</v>
      </c>
      <c r="BJ74" s="5">
        <v>513</v>
      </c>
      <c r="BK74" s="5">
        <v>783</v>
      </c>
      <c r="BL74" s="5">
        <v>166</v>
      </c>
      <c r="BM74" s="5">
        <v>282</v>
      </c>
      <c r="BN74" s="5">
        <v>75</v>
      </c>
      <c r="BO74" s="5">
        <v>1099</v>
      </c>
      <c r="BP74" s="5">
        <v>257</v>
      </c>
      <c r="BQ74" s="5">
        <v>328</v>
      </c>
      <c r="BR74" s="5">
        <v>37</v>
      </c>
      <c r="BS74" s="5">
        <v>227</v>
      </c>
      <c r="BT74" s="5">
        <v>23</v>
      </c>
      <c r="BU74" s="5">
        <v>385</v>
      </c>
      <c r="BV74" s="5">
        <v>55</v>
      </c>
      <c r="BW74" s="5">
        <v>12.4</v>
      </c>
      <c r="BX74" s="5">
        <v>1.3</v>
      </c>
      <c r="BY74" s="5">
        <v>8.8000000000000007</v>
      </c>
      <c r="BZ74" s="5">
        <v>0.8</v>
      </c>
      <c r="CA74" s="5">
        <v>14.4</v>
      </c>
      <c r="CB74" s="20">
        <v>1.9</v>
      </c>
      <c r="CC74" s="5">
        <v>4.4000000000000004</v>
      </c>
      <c r="CD74" s="5">
        <v>414</v>
      </c>
      <c r="CE74" s="20">
        <v>15.4</v>
      </c>
      <c r="CF74" s="5">
        <v>51.94</v>
      </c>
      <c r="CG74" s="5">
        <v>0.93</v>
      </c>
      <c r="CH74" s="5">
        <v>16.96</v>
      </c>
      <c r="CI74" s="5">
        <v>9.94</v>
      </c>
      <c r="CJ74" s="5">
        <v>0.21</v>
      </c>
      <c r="CK74" s="5">
        <v>3.62</v>
      </c>
      <c r="CL74" s="5">
        <v>7.4</v>
      </c>
      <c r="CM74" s="5">
        <v>3.86</v>
      </c>
      <c r="CN74" s="5">
        <v>0.82</v>
      </c>
      <c r="CO74" s="5">
        <v>0.45</v>
      </c>
      <c r="CP74" s="5">
        <v>2109</v>
      </c>
      <c r="CQ74" s="5"/>
      <c r="CR74" s="5"/>
      <c r="CS74" s="5">
        <v>1546</v>
      </c>
      <c r="CT74" s="5">
        <v>4.0599999999999996</v>
      </c>
      <c r="CU74" s="20">
        <v>190</v>
      </c>
      <c r="CV74" s="5">
        <v>2.6</v>
      </c>
      <c r="CW74" s="5">
        <v>0.05</v>
      </c>
      <c r="CX74" s="5">
        <v>0.85</v>
      </c>
      <c r="CY74" s="5">
        <v>0.5</v>
      </c>
      <c r="CZ74" s="5">
        <v>0.01</v>
      </c>
      <c r="DA74" s="5">
        <v>0.18</v>
      </c>
      <c r="DB74" s="5">
        <v>0.37</v>
      </c>
      <c r="DC74" s="5">
        <v>0.19</v>
      </c>
      <c r="DD74" s="5">
        <v>0.04</v>
      </c>
      <c r="DE74" s="5">
        <v>0.02</v>
      </c>
      <c r="DF74" s="5">
        <v>105</v>
      </c>
      <c r="DG74" s="5"/>
      <c r="DH74" s="5"/>
      <c r="DI74" s="5">
        <v>77</v>
      </c>
      <c r="DJ74" s="5">
        <v>0.2</v>
      </c>
      <c r="DK74" s="20">
        <v>9</v>
      </c>
      <c r="DL74" s="5"/>
      <c r="DM74" s="5"/>
      <c r="DN74" s="5"/>
      <c r="DO74" s="5"/>
      <c r="DP74" s="5"/>
      <c r="DQ74" s="20">
        <v>73.400000000000006</v>
      </c>
      <c r="DR74" s="5"/>
      <c r="DS74" s="5"/>
      <c r="DT74" s="5"/>
      <c r="DU74" s="5"/>
      <c r="DV74" s="5"/>
      <c r="DW74" s="20">
        <v>2</v>
      </c>
      <c r="DX74" s="5"/>
      <c r="DY74" s="5"/>
      <c r="DZ74" s="5"/>
      <c r="EA74" s="5"/>
      <c r="EB74" s="5">
        <v>56</v>
      </c>
      <c r="EC74" s="5">
        <v>47</v>
      </c>
      <c r="ED74" s="5"/>
      <c r="EE74" s="5"/>
      <c r="EF74" s="5">
        <v>14.6</v>
      </c>
      <c r="EG74" s="20">
        <v>2.2400000000000002</v>
      </c>
      <c r="EH74" s="5"/>
      <c r="EI74" s="5"/>
      <c r="EJ74" s="5"/>
      <c r="EK74" s="5"/>
      <c r="EL74" s="5"/>
      <c r="EM74" s="21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4"/>
    </row>
    <row r="75" spans="1:181" ht="15" x14ac:dyDescent="0.2">
      <c r="A75" s="4" t="s">
        <v>416</v>
      </c>
      <c r="B75" s="4" t="s">
        <v>1</v>
      </c>
      <c r="C75" s="4" t="s">
        <v>411</v>
      </c>
      <c r="D75" s="4" t="s">
        <v>3</v>
      </c>
      <c r="E75" s="5" t="s">
        <v>3</v>
      </c>
      <c r="F75" s="5" t="s">
        <v>346</v>
      </c>
      <c r="G75" s="5">
        <v>0.2</v>
      </c>
      <c r="H75" s="5">
        <v>0.01</v>
      </c>
      <c r="I75" s="5">
        <v>1.5</v>
      </c>
      <c r="J75" s="20">
        <v>0.3</v>
      </c>
      <c r="K75" s="5">
        <v>50.61</v>
      </c>
      <c r="L75" s="5">
        <v>0.69</v>
      </c>
      <c r="M75" s="5">
        <v>17.04</v>
      </c>
      <c r="N75" s="5">
        <v>2.4900000000000002</v>
      </c>
      <c r="O75" s="5">
        <v>9.18</v>
      </c>
      <c r="P75" s="5">
        <v>0.16</v>
      </c>
      <c r="Q75" s="5">
        <v>4.6399999999999997</v>
      </c>
      <c r="R75" s="5">
        <v>8.15</v>
      </c>
      <c r="S75" s="5">
        <v>3.14</v>
      </c>
      <c r="T75" s="5">
        <v>0.54</v>
      </c>
      <c r="U75" s="5">
        <v>0.35</v>
      </c>
      <c r="V75" s="5">
        <v>2448</v>
      </c>
      <c r="W75" s="5">
        <v>1205</v>
      </c>
      <c r="X75" s="5">
        <v>4.3600000000000003</v>
      </c>
      <c r="Y75" s="5">
        <v>500</v>
      </c>
      <c r="Z75" s="20">
        <v>101.8</v>
      </c>
      <c r="AA75" s="5">
        <v>1051</v>
      </c>
      <c r="AB75" s="5">
        <v>1074</v>
      </c>
      <c r="AC75" s="5">
        <v>723</v>
      </c>
      <c r="AD75" s="5">
        <v>961</v>
      </c>
      <c r="AE75" s="5">
        <v>0.9</v>
      </c>
      <c r="AF75" s="5">
        <v>0.33</v>
      </c>
      <c r="AG75" s="5">
        <v>302</v>
      </c>
      <c r="AH75" s="20">
        <v>11.5</v>
      </c>
      <c r="AI75" s="5">
        <v>2.4500000000000002</v>
      </c>
      <c r="AJ75" s="5">
        <v>0.04</v>
      </c>
      <c r="AK75" s="5">
        <v>0.94</v>
      </c>
      <c r="AL75" s="5">
        <v>0.15</v>
      </c>
      <c r="AM75" s="5">
        <v>0.64</v>
      </c>
      <c r="AN75" s="5">
        <v>0.01</v>
      </c>
      <c r="AO75" s="5">
        <v>0.66</v>
      </c>
      <c r="AP75" s="5">
        <v>0.43</v>
      </c>
      <c r="AQ75" s="5">
        <v>0.18</v>
      </c>
      <c r="AR75" s="5">
        <v>0.02</v>
      </c>
      <c r="AS75" s="5">
        <v>0.02</v>
      </c>
      <c r="AT75" s="5">
        <v>125</v>
      </c>
      <c r="AU75" s="5">
        <v>56</v>
      </c>
      <c r="AV75" s="5">
        <v>0.2</v>
      </c>
      <c r="AW75" s="5">
        <v>29</v>
      </c>
      <c r="AX75" s="5">
        <v>8</v>
      </c>
      <c r="AY75" s="5">
        <v>26</v>
      </c>
      <c r="AZ75" s="5">
        <v>134</v>
      </c>
      <c r="BA75" s="5">
        <v>133</v>
      </c>
      <c r="BB75" s="5">
        <v>2.54</v>
      </c>
      <c r="BC75" s="5">
        <v>0.01</v>
      </c>
      <c r="BD75" s="5">
        <v>22</v>
      </c>
      <c r="BE75" s="20">
        <v>0.8</v>
      </c>
      <c r="BF75" s="5">
        <v>0.2</v>
      </c>
      <c r="BG75" s="5">
        <v>0.2</v>
      </c>
      <c r="BH75" s="5">
        <v>2.2000000000000002</v>
      </c>
      <c r="BI75" s="5">
        <v>1.46</v>
      </c>
      <c r="BJ75" s="5">
        <v>1684</v>
      </c>
      <c r="BK75" s="5">
        <v>1703</v>
      </c>
      <c r="BL75" s="5">
        <v>352</v>
      </c>
      <c r="BM75" s="5">
        <v>640</v>
      </c>
      <c r="BN75" s="5">
        <v>163</v>
      </c>
      <c r="BO75" s="5">
        <v>2116</v>
      </c>
      <c r="BP75" s="5">
        <v>601</v>
      </c>
      <c r="BQ75" s="5">
        <v>505</v>
      </c>
      <c r="BR75" s="5">
        <v>68</v>
      </c>
      <c r="BS75" s="5">
        <v>324</v>
      </c>
      <c r="BT75" s="5">
        <v>50</v>
      </c>
      <c r="BU75" s="5">
        <v>565</v>
      </c>
      <c r="BV75" s="5">
        <v>96</v>
      </c>
      <c r="BW75" s="5">
        <v>18.5</v>
      </c>
      <c r="BX75" s="5">
        <v>2.2999999999999998</v>
      </c>
      <c r="BY75" s="5">
        <v>12.3</v>
      </c>
      <c r="BZ75" s="5">
        <v>1.7</v>
      </c>
      <c r="CA75" s="5">
        <v>20.5</v>
      </c>
      <c r="CB75" s="20">
        <v>3.3</v>
      </c>
      <c r="CC75" s="5">
        <v>4.0999999999999996</v>
      </c>
      <c r="CD75" s="5">
        <v>549</v>
      </c>
      <c r="CE75" s="20">
        <v>20</v>
      </c>
      <c r="CF75" s="5">
        <v>50.72</v>
      </c>
      <c r="CG75" s="5">
        <v>0.7</v>
      </c>
      <c r="CH75" s="5">
        <v>17.190000000000001</v>
      </c>
      <c r="CI75" s="5">
        <v>11.31</v>
      </c>
      <c r="CJ75" s="5">
        <v>0.16</v>
      </c>
      <c r="CK75" s="5">
        <v>4.3600000000000003</v>
      </c>
      <c r="CL75" s="5">
        <v>8.2200000000000006</v>
      </c>
      <c r="CM75" s="5">
        <v>3.17</v>
      </c>
      <c r="CN75" s="5">
        <v>0.55000000000000004</v>
      </c>
      <c r="CO75" s="5">
        <v>0.35</v>
      </c>
      <c r="CP75" s="5">
        <v>2469</v>
      </c>
      <c r="CQ75" s="5"/>
      <c r="CR75" s="5"/>
      <c r="CS75" s="5">
        <v>1215</v>
      </c>
      <c r="CT75" s="5">
        <v>4.3899999999999997</v>
      </c>
      <c r="CU75" s="20">
        <v>504</v>
      </c>
      <c r="CV75" s="5">
        <v>2.54</v>
      </c>
      <c r="CW75" s="5">
        <v>0.03</v>
      </c>
      <c r="CX75" s="5">
        <v>0.86</v>
      </c>
      <c r="CY75" s="5">
        <v>0.56999999999999995</v>
      </c>
      <c r="CZ75" s="5">
        <v>0.01</v>
      </c>
      <c r="DA75" s="5">
        <v>0.22</v>
      </c>
      <c r="DB75" s="5">
        <v>0.41</v>
      </c>
      <c r="DC75" s="5">
        <v>0.16</v>
      </c>
      <c r="DD75" s="5">
        <v>0.03</v>
      </c>
      <c r="DE75" s="5">
        <v>0.02</v>
      </c>
      <c r="DF75" s="5">
        <v>123</v>
      </c>
      <c r="DG75" s="5"/>
      <c r="DH75" s="5"/>
      <c r="DI75" s="5">
        <v>61</v>
      </c>
      <c r="DJ75" s="5">
        <v>0.22</v>
      </c>
      <c r="DK75" s="20">
        <v>25</v>
      </c>
      <c r="DL75" s="5"/>
      <c r="DM75" s="5"/>
      <c r="DN75" s="5"/>
      <c r="DO75" s="5"/>
      <c r="DP75" s="5"/>
      <c r="DQ75" s="20">
        <v>73.099999999999994</v>
      </c>
      <c r="DR75" s="5"/>
      <c r="DS75" s="5"/>
      <c r="DT75" s="5"/>
      <c r="DU75" s="5"/>
      <c r="DV75" s="5"/>
      <c r="DW75" s="20">
        <v>2</v>
      </c>
      <c r="DX75" s="5"/>
      <c r="DY75" s="5"/>
      <c r="DZ75" s="5"/>
      <c r="EA75" s="5"/>
      <c r="EB75" s="5">
        <v>98</v>
      </c>
      <c r="EC75" s="5">
        <v>82</v>
      </c>
      <c r="ED75" s="5"/>
      <c r="EE75" s="5"/>
      <c r="EF75" s="5">
        <v>25.8</v>
      </c>
      <c r="EG75" s="20">
        <v>2.34</v>
      </c>
      <c r="EH75" s="5"/>
      <c r="EI75" s="5"/>
      <c r="EJ75" s="5"/>
      <c r="EK75" s="5"/>
      <c r="EL75" s="5"/>
      <c r="EM75" s="21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4"/>
    </row>
    <row r="76" spans="1:181" ht="15" x14ac:dyDescent="0.2">
      <c r="A76" s="4" t="s">
        <v>417</v>
      </c>
      <c r="B76" s="4" t="s">
        <v>1</v>
      </c>
      <c r="C76" s="4" t="s">
        <v>418</v>
      </c>
      <c r="D76" s="4" t="s">
        <v>3</v>
      </c>
      <c r="E76" s="5" t="s">
        <v>3</v>
      </c>
      <c r="F76" s="5" t="s">
        <v>317</v>
      </c>
      <c r="G76" s="5">
        <v>0.2</v>
      </c>
      <c r="H76" s="5">
        <v>0.01</v>
      </c>
      <c r="I76" s="5">
        <v>1.5</v>
      </c>
      <c r="J76" s="20">
        <v>0.3</v>
      </c>
      <c r="K76" s="5">
        <v>50.48</v>
      </c>
      <c r="L76" s="5">
        <v>1.22</v>
      </c>
      <c r="M76" s="5">
        <v>16.05</v>
      </c>
      <c r="N76" s="5">
        <v>2.52</v>
      </c>
      <c r="O76" s="5">
        <v>9.16</v>
      </c>
      <c r="P76" s="5">
        <v>0.18</v>
      </c>
      <c r="Q76" s="5">
        <v>4.49</v>
      </c>
      <c r="R76" s="5">
        <v>7.77</v>
      </c>
      <c r="S76" s="5">
        <v>3.42</v>
      </c>
      <c r="T76" s="5">
        <v>0.77</v>
      </c>
      <c r="U76" s="5">
        <v>0.19</v>
      </c>
      <c r="V76" s="5"/>
      <c r="W76" s="5"/>
      <c r="X76" s="5">
        <v>3.99</v>
      </c>
      <c r="Y76" s="5"/>
      <c r="Z76" s="20">
        <v>100.2</v>
      </c>
      <c r="AA76" s="5">
        <v>1053</v>
      </c>
      <c r="AB76" s="5">
        <v>1057</v>
      </c>
      <c r="AC76" s="5">
        <v>848</v>
      </c>
      <c r="AD76" s="5"/>
      <c r="AE76" s="5">
        <v>0.4</v>
      </c>
      <c r="AF76" s="5">
        <v>0.32</v>
      </c>
      <c r="AG76" s="5">
        <v>160</v>
      </c>
      <c r="AH76" s="20">
        <v>6.4</v>
      </c>
      <c r="AI76" s="5">
        <v>2.56</v>
      </c>
      <c r="AJ76" s="5">
        <v>7.0000000000000007E-2</v>
      </c>
      <c r="AK76" s="5">
        <v>0.91</v>
      </c>
      <c r="AL76" s="5">
        <v>0.15</v>
      </c>
      <c r="AM76" s="5">
        <v>0.65</v>
      </c>
      <c r="AN76" s="5">
        <v>0.01</v>
      </c>
      <c r="AO76" s="5">
        <v>0.63</v>
      </c>
      <c r="AP76" s="5">
        <v>0.4</v>
      </c>
      <c r="AQ76" s="5">
        <v>0.2</v>
      </c>
      <c r="AR76" s="5">
        <v>0.04</v>
      </c>
      <c r="AS76" s="5">
        <v>0.01</v>
      </c>
      <c r="AT76" s="5"/>
      <c r="AU76" s="5"/>
      <c r="AV76" s="5">
        <v>0.1</v>
      </c>
      <c r="AW76" s="5"/>
      <c r="AX76" s="5">
        <v>7</v>
      </c>
      <c r="AY76" s="5">
        <v>22</v>
      </c>
      <c r="AZ76" s="5">
        <v>218</v>
      </c>
      <c r="BA76" s="5">
        <v>0</v>
      </c>
      <c r="BB76" s="5">
        <v>2.21</v>
      </c>
      <c r="BC76" s="5">
        <v>0</v>
      </c>
      <c r="BD76" s="5">
        <v>1</v>
      </c>
      <c r="BE76" s="20">
        <v>0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20"/>
      <c r="CC76" s="5">
        <v>3.8</v>
      </c>
      <c r="CD76" s="5"/>
      <c r="CE76" s="20"/>
      <c r="CF76" s="5">
        <v>50.52</v>
      </c>
      <c r="CG76" s="5">
        <v>1.23</v>
      </c>
      <c r="CH76" s="5">
        <v>16.100000000000001</v>
      </c>
      <c r="CI76" s="5">
        <v>11.38</v>
      </c>
      <c r="CJ76" s="5">
        <v>0.19</v>
      </c>
      <c r="CK76" s="5">
        <v>4.37</v>
      </c>
      <c r="CL76" s="5">
        <v>7.8</v>
      </c>
      <c r="CM76" s="5">
        <v>3.43</v>
      </c>
      <c r="CN76" s="5">
        <v>0.77</v>
      </c>
      <c r="CO76" s="5">
        <v>0.19</v>
      </c>
      <c r="CP76" s="5"/>
      <c r="CQ76" s="5"/>
      <c r="CR76" s="5"/>
      <c r="CS76" s="5"/>
      <c r="CT76" s="5"/>
      <c r="CU76" s="20"/>
      <c r="CV76" s="5">
        <v>2.5299999999999998</v>
      </c>
      <c r="CW76" s="5">
        <v>0.06</v>
      </c>
      <c r="CX76" s="5">
        <v>0.81</v>
      </c>
      <c r="CY76" s="5">
        <v>0.56999999999999995</v>
      </c>
      <c r="CZ76" s="5">
        <v>0.01</v>
      </c>
      <c r="DA76" s="5">
        <v>0.22</v>
      </c>
      <c r="DB76" s="5">
        <v>0.39</v>
      </c>
      <c r="DC76" s="5">
        <v>0.17</v>
      </c>
      <c r="DD76" s="5">
        <v>0.04</v>
      </c>
      <c r="DE76" s="5">
        <v>0.01</v>
      </c>
      <c r="DF76" s="5"/>
      <c r="DG76" s="5"/>
      <c r="DH76" s="5"/>
      <c r="DI76" s="5"/>
      <c r="DJ76" s="5"/>
      <c r="DK76" s="20"/>
      <c r="DL76" s="5"/>
      <c r="DM76" s="5"/>
      <c r="DN76" s="5"/>
      <c r="DO76" s="5"/>
      <c r="DP76" s="5"/>
      <c r="DQ76" s="20">
        <v>73.099999999999994</v>
      </c>
      <c r="DR76" s="5"/>
      <c r="DS76" s="5"/>
      <c r="DT76" s="5"/>
      <c r="DU76" s="5"/>
      <c r="DV76" s="5"/>
      <c r="DW76" s="20">
        <v>2</v>
      </c>
      <c r="DX76" s="5"/>
      <c r="DY76" s="5"/>
      <c r="DZ76" s="5"/>
      <c r="EA76" s="5"/>
      <c r="EB76" s="5"/>
      <c r="EC76" s="5"/>
      <c r="ED76" s="5"/>
      <c r="EE76" s="5"/>
      <c r="EF76" s="5"/>
      <c r="EG76" s="20"/>
      <c r="EH76" s="5"/>
      <c r="EI76" s="5"/>
      <c r="EJ76" s="5"/>
      <c r="EK76" s="5"/>
      <c r="EL76" s="4"/>
      <c r="EM76" s="21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4"/>
    </row>
    <row r="77" spans="1:181" ht="15" x14ac:dyDescent="0.2">
      <c r="A77" s="4" t="s">
        <v>419</v>
      </c>
      <c r="B77" s="4" t="s">
        <v>1</v>
      </c>
      <c r="C77" s="4" t="s">
        <v>418</v>
      </c>
      <c r="D77" s="4" t="s">
        <v>3</v>
      </c>
      <c r="E77" s="5" t="s">
        <v>3</v>
      </c>
      <c r="F77" s="5" t="s">
        <v>346</v>
      </c>
      <c r="G77" s="5">
        <v>0.2</v>
      </c>
      <c r="H77" s="5">
        <v>0.01</v>
      </c>
      <c r="I77" s="5">
        <v>1.5</v>
      </c>
      <c r="J77" s="20">
        <v>0.3</v>
      </c>
      <c r="K77" s="5">
        <v>54.65</v>
      </c>
      <c r="L77" s="5">
        <v>0.97</v>
      </c>
      <c r="M77" s="5">
        <v>16.77</v>
      </c>
      <c r="N77" s="5">
        <v>1.99</v>
      </c>
      <c r="O77" s="5">
        <v>7.47</v>
      </c>
      <c r="P77" s="5">
        <v>0.16</v>
      </c>
      <c r="Q77" s="5">
        <v>4.05</v>
      </c>
      <c r="R77" s="5">
        <v>6.84</v>
      </c>
      <c r="S77" s="5">
        <v>3.99</v>
      </c>
      <c r="T77" s="5">
        <v>0.98</v>
      </c>
      <c r="U77" s="5">
        <v>0.28999999999999998</v>
      </c>
      <c r="V77" s="5"/>
      <c r="W77" s="5"/>
      <c r="X77" s="5">
        <v>3.95</v>
      </c>
      <c r="Y77" s="5"/>
      <c r="Z77" s="20">
        <v>102.1</v>
      </c>
      <c r="AA77" s="5">
        <v>1033</v>
      </c>
      <c r="AB77" s="5">
        <v>1048</v>
      </c>
      <c r="AC77" s="5">
        <v>814</v>
      </c>
      <c r="AD77" s="5"/>
      <c r="AE77" s="5">
        <v>1.3</v>
      </c>
      <c r="AF77" s="5">
        <v>0.36</v>
      </c>
      <c r="AG77" s="5">
        <v>162</v>
      </c>
      <c r="AH77" s="20">
        <v>6.5</v>
      </c>
      <c r="AI77" s="5">
        <v>2.54</v>
      </c>
      <c r="AJ77" s="5">
        <v>0.05</v>
      </c>
      <c r="AK77" s="5">
        <v>0.9</v>
      </c>
      <c r="AL77" s="5">
        <v>0.14000000000000001</v>
      </c>
      <c r="AM77" s="5">
        <v>0.53</v>
      </c>
      <c r="AN77" s="5">
        <v>0.01</v>
      </c>
      <c r="AO77" s="5">
        <v>0.57999999999999996</v>
      </c>
      <c r="AP77" s="5">
        <v>0.44</v>
      </c>
      <c r="AQ77" s="5">
        <v>0.25</v>
      </c>
      <c r="AR77" s="5">
        <v>0.05</v>
      </c>
      <c r="AS77" s="5">
        <v>0.02</v>
      </c>
      <c r="AT77" s="5"/>
      <c r="AU77" s="5"/>
      <c r="AV77" s="5">
        <v>0.1</v>
      </c>
      <c r="AW77" s="5"/>
      <c r="AX77" s="5">
        <v>5</v>
      </c>
      <c r="AY77" s="5">
        <v>24</v>
      </c>
      <c r="AZ77" s="5">
        <v>205</v>
      </c>
      <c r="BA77" s="5">
        <v>0</v>
      </c>
      <c r="BB77" s="5">
        <v>1.8</v>
      </c>
      <c r="BC77" s="5">
        <v>0.02</v>
      </c>
      <c r="BD77" s="5">
        <v>1</v>
      </c>
      <c r="BE77" s="20">
        <v>0</v>
      </c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20"/>
      <c r="CC77" s="5">
        <v>4.3</v>
      </c>
      <c r="CD77" s="5"/>
      <c r="CE77" s="20"/>
      <c r="CF77" s="5">
        <v>54.84</v>
      </c>
      <c r="CG77" s="5">
        <v>0.98</v>
      </c>
      <c r="CH77" s="5">
        <v>16.98</v>
      </c>
      <c r="CI77" s="5">
        <v>9.06</v>
      </c>
      <c r="CJ77" s="5">
        <v>0.16</v>
      </c>
      <c r="CK77" s="5">
        <v>3.64</v>
      </c>
      <c r="CL77" s="5">
        <v>6.92</v>
      </c>
      <c r="CM77" s="5">
        <v>4.04</v>
      </c>
      <c r="CN77" s="5">
        <v>0.99</v>
      </c>
      <c r="CO77" s="5">
        <v>0.3</v>
      </c>
      <c r="CP77" s="5"/>
      <c r="CQ77" s="5"/>
      <c r="CR77" s="5"/>
      <c r="CS77" s="5"/>
      <c r="CT77" s="5"/>
      <c r="CU77" s="20"/>
      <c r="CV77" s="5">
        <v>2.74</v>
      </c>
      <c r="CW77" s="5">
        <v>0.05</v>
      </c>
      <c r="CX77" s="5">
        <v>0.85</v>
      </c>
      <c r="CY77" s="5">
        <v>0.45</v>
      </c>
      <c r="CZ77" s="5">
        <v>0.01</v>
      </c>
      <c r="DA77" s="5">
        <v>0.18</v>
      </c>
      <c r="DB77" s="5">
        <v>0.35</v>
      </c>
      <c r="DC77" s="5">
        <v>0.2</v>
      </c>
      <c r="DD77" s="5">
        <v>0.05</v>
      </c>
      <c r="DE77" s="5">
        <v>0.01</v>
      </c>
      <c r="DF77" s="5"/>
      <c r="DG77" s="5"/>
      <c r="DH77" s="5"/>
      <c r="DI77" s="5"/>
      <c r="DJ77" s="5"/>
      <c r="DK77" s="20"/>
      <c r="DL77" s="5"/>
      <c r="DM77" s="5"/>
      <c r="DN77" s="5"/>
      <c r="DO77" s="5"/>
      <c r="DP77" s="5"/>
      <c r="DQ77" s="20">
        <v>73.099999999999994</v>
      </c>
      <c r="DR77" s="5"/>
      <c r="DS77" s="5"/>
      <c r="DT77" s="5"/>
      <c r="DU77" s="5"/>
      <c r="DV77" s="5"/>
      <c r="DW77" s="20">
        <v>2</v>
      </c>
      <c r="DX77" s="5"/>
      <c r="DY77" s="5"/>
      <c r="DZ77" s="5"/>
      <c r="EA77" s="5"/>
      <c r="EB77" s="5"/>
      <c r="EC77" s="5"/>
      <c r="ED77" s="5"/>
      <c r="EE77" s="5"/>
      <c r="EF77" s="5"/>
      <c r="EG77" s="20"/>
      <c r="EH77" s="5"/>
      <c r="EI77" s="5"/>
      <c r="EJ77" s="5"/>
      <c r="EK77" s="5"/>
      <c r="EL77" s="4"/>
      <c r="EM77" s="21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4"/>
    </row>
    <row r="78" spans="1:181" ht="15" x14ac:dyDescent="0.2">
      <c r="A78" s="4" t="s">
        <v>420</v>
      </c>
      <c r="B78" s="4" t="s">
        <v>1</v>
      </c>
      <c r="C78" s="4" t="s">
        <v>418</v>
      </c>
      <c r="D78" s="4" t="s">
        <v>3</v>
      </c>
      <c r="E78" s="5" t="s">
        <v>3</v>
      </c>
      <c r="F78" s="5" t="s">
        <v>317</v>
      </c>
      <c r="G78" s="5">
        <v>0.2</v>
      </c>
      <c r="H78" s="5">
        <v>0.01</v>
      </c>
      <c r="I78" s="5">
        <v>1.5</v>
      </c>
      <c r="J78" s="20">
        <v>0.3</v>
      </c>
      <c r="K78" s="5">
        <v>50.92</v>
      </c>
      <c r="L78" s="5">
        <v>1.1000000000000001</v>
      </c>
      <c r="M78" s="5">
        <v>16.55</v>
      </c>
      <c r="N78" s="5">
        <v>2.1800000000000002</v>
      </c>
      <c r="O78" s="5">
        <v>7.71</v>
      </c>
      <c r="P78" s="5">
        <v>0.2</v>
      </c>
      <c r="Q78" s="5">
        <v>3.67</v>
      </c>
      <c r="R78" s="5">
        <v>7.32</v>
      </c>
      <c r="S78" s="5">
        <v>3.49</v>
      </c>
      <c r="T78" s="5">
        <v>0.66</v>
      </c>
      <c r="U78" s="5">
        <v>0.21</v>
      </c>
      <c r="V78" s="5"/>
      <c r="W78" s="5"/>
      <c r="X78" s="5">
        <v>4.0199999999999996</v>
      </c>
      <c r="Y78" s="5"/>
      <c r="Z78" s="20">
        <v>98</v>
      </c>
      <c r="AA78" s="5">
        <v>1035</v>
      </c>
      <c r="AB78" s="5">
        <v>1030</v>
      </c>
      <c r="AC78" s="5">
        <v>822</v>
      </c>
      <c r="AD78" s="5"/>
      <c r="AE78" s="5">
        <v>-0.5</v>
      </c>
      <c r="AF78" s="5">
        <v>0.32</v>
      </c>
      <c r="AG78" s="5">
        <v>162</v>
      </c>
      <c r="AH78" s="20">
        <v>6.5</v>
      </c>
      <c r="AI78" s="5">
        <v>1.89</v>
      </c>
      <c r="AJ78" s="5">
        <v>0.05</v>
      </c>
      <c r="AK78" s="5">
        <v>0.69</v>
      </c>
      <c r="AL78" s="5">
        <v>0.11</v>
      </c>
      <c r="AM78" s="5">
        <v>0.61</v>
      </c>
      <c r="AN78" s="5">
        <v>0.01</v>
      </c>
      <c r="AO78" s="5">
        <v>0.55000000000000004</v>
      </c>
      <c r="AP78" s="5">
        <v>0.35</v>
      </c>
      <c r="AQ78" s="5">
        <v>0.19</v>
      </c>
      <c r="AR78" s="5">
        <v>0.03</v>
      </c>
      <c r="AS78" s="5">
        <v>0.01</v>
      </c>
      <c r="AT78" s="5"/>
      <c r="AU78" s="5"/>
      <c r="AV78" s="5">
        <v>0.1</v>
      </c>
      <c r="AW78" s="5"/>
      <c r="AX78" s="5">
        <v>7</v>
      </c>
      <c r="AY78" s="5">
        <v>21</v>
      </c>
      <c r="AZ78" s="5">
        <v>236</v>
      </c>
      <c r="BA78" s="5">
        <v>0</v>
      </c>
      <c r="BB78" s="5">
        <v>1.62</v>
      </c>
      <c r="BC78" s="5">
        <v>0.01</v>
      </c>
      <c r="BD78" s="5">
        <v>1</v>
      </c>
      <c r="BE78" s="20">
        <v>0</v>
      </c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20"/>
      <c r="CC78" s="5">
        <v>4.5</v>
      </c>
      <c r="CD78" s="5"/>
      <c r="CE78" s="20"/>
      <c r="CF78" s="5">
        <v>50.85</v>
      </c>
      <c r="CG78" s="5">
        <v>1.0900000000000001</v>
      </c>
      <c r="CH78" s="5">
        <v>16.46</v>
      </c>
      <c r="CI78" s="5">
        <v>9.74</v>
      </c>
      <c r="CJ78" s="5">
        <v>0.2</v>
      </c>
      <c r="CK78" s="5">
        <v>3.84</v>
      </c>
      <c r="CL78" s="5">
        <v>7.28</v>
      </c>
      <c r="CM78" s="5">
        <v>3.47</v>
      </c>
      <c r="CN78" s="5">
        <v>0.65</v>
      </c>
      <c r="CO78" s="5">
        <v>0.21</v>
      </c>
      <c r="CP78" s="5"/>
      <c r="CQ78" s="5"/>
      <c r="CR78" s="5"/>
      <c r="CS78" s="5"/>
      <c r="CT78" s="5"/>
      <c r="CU78" s="20"/>
      <c r="CV78" s="5">
        <v>2.54</v>
      </c>
      <c r="CW78" s="5">
        <v>0.05</v>
      </c>
      <c r="CX78" s="5">
        <v>0.82</v>
      </c>
      <c r="CY78" s="5">
        <v>0.49</v>
      </c>
      <c r="CZ78" s="5">
        <v>0.01</v>
      </c>
      <c r="DA78" s="5">
        <v>0.19</v>
      </c>
      <c r="DB78" s="5">
        <v>0.36</v>
      </c>
      <c r="DC78" s="5">
        <v>0.17</v>
      </c>
      <c r="DD78" s="5">
        <v>0.03</v>
      </c>
      <c r="DE78" s="5">
        <v>0.01</v>
      </c>
      <c r="DF78" s="5"/>
      <c r="DG78" s="5"/>
      <c r="DH78" s="5"/>
      <c r="DI78" s="5"/>
      <c r="DJ78" s="5"/>
      <c r="DK78" s="20"/>
      <c r="DL78" s="5"/>
      <c r="DM78" s="5"/>
      <c r="DN78" s="5"/>
      <c r="DO78" s="5"/>
      <c r="DP78" s="5"/>
      <c r="DQ78" s="20">
        <v>72.7</v>
      </c>
      <c r="DR78" s="5"/>
      <c r="DS78" s="5"/>
      <c r="DT78" s="5"/>
      <c r="DU78" s="5"/>
      <c r="DV78" s="5"/>
      <c r="DW78" s="20">
        <v>2</v>
      </c>
      <c r="DX78" s="5"/>
      <c r="DY78" s="5"/>
      <c r="DZ78" s="5"/>
      <c r="EA78" s="5"/>
      <c r="EB78" s="5"/>
      <c r="EC78" s="5"/>
      <c r="ED78" s="5"/>
      <c r="EE78" s="5"/>
      <c r="EF78" s="5"/>
      <c r="EG78" s="20"/>
      <c r="EH78" s="5"/>
      <c r="EI78" s="5"/>
      <c r="EJ78" s="5"/>
      <c r="EK78" s="5"/>
      <c r="EL78" s="4"/>
      <c r="EM78" s="21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4"/>
    </row>
    <row r="79" spans="1:181" ht="15" x14ac:dyDescent="0.2">
      <c r="A79" s="4" t="s">
        <v>421</v>
      </c>
      <c r="B79" s="4" t="s">
        <v>1</v>
      </c>
      <c r="C79" s="4" t="s">
        <v>418</v>
      </c>
      <c r="D79" s="4" t="s">
        <v>3</v>
      </c>
      <c r="E79" s="5" t="s">
        <v>3</v>
      </c>
      <c r="F79" s="5" t="s">
        <v>422</v>
      </c>
      <c r="G79" s="5">
        <v>0.2</v>
      </c>
      <c r="H79" s="5">
        <v>0.01</v>
      </c>
      <c r="I79" s="5">
        <v>1.5</v>
      </c>
      <c r="J79" s="20">
        <v>0.3</v>
      </c>
      <c r="K79" s="5">
        <v>52.89</v>
      </c>
      <c r="L79" s="5">
        <v>1.22</v>
      </c>
      <c r="M79" s="5">
        <v>17.489999999999998</v>
      </c>
      <c r="N79" s="5">
        <v>2.16</v>
      </c>
      <c r="O79" s="5">
        <v>8.11</v>
      </c>
      <c r="P79" s="5">
        <v>0.23</v>
      </c>
      <c r="Q79" s="5">
        <v>3.96</v>
      </c>
      <c r="R79" s="5">
        <v>8.06</v>
      </c>
      <c r="S79" s="5">
        <v>3.74</v>
      </c>
      <c r="T79" s="5">
        <v>0.47</v>
      </c>
      <c r="U79" s="5">
        <v>0.2</v>
      </c>
      <c r="V79" s="5"/>
      <c r="W79" s="5"/>
      <c r="X79" s="5">
        <v>3.95</v>
      </c>
      <c r="Y79" s="5"/>
      <c r="Z79" s="20">
        <v>102.5</v>
      </c>
      <c r="AA79" s="5">
        <v>1016</v>
      </c>
      <c r="AB79" s="5">
        <v>1032</v>
      </c>
      <c r="AC79" s="5">
        <v>786</v>
      </c>
      <c r="AD79" s="5"/>
      <c r="AE79" s="5">
        <v>1.3</v>
      </c>
      <c r="AF79" s="5">
        <v>0.32</v>
      </c>
      <c r="AG79" s="5">
        <v>165</v>
      </c>
      <c r="AH79" s="20">
        <v>6.6</v>
      </c>
      <c r="AI79" s="5">
        <v>2.42</v>
      </c>
      <c r="AJ79" s="5">
        <v>7.0000000000000007E-2</v>
      </c>
      <c r="AK79" s="5">
        <v>0.89</v>
      </c>
      <c r="AL79" s="5">
        <v>0.14000000000000001</v>
      </c>
      <c r="AM79" s="5">
        <v>0.62</v>
      </c>
      <c r="AN79" s="5">
        <v>0.01</v>
      </c>
      <c r="AO79" s="5">
        <v>0.6</v>
      </c>
      <c r="AP79" s="5">
        <v>0.49</v>
      </c>
      <c r="AQ79" s="5">
        <v>0.23</v>
      </c>
      <c r="AR79" s="5">
        <v>0.02</v>
      </c>
      <c r="AS79" s="5">
        <v>0.01</v>
      </c>
      <c r="AT79" s="5"/>
      <c r="AU79" s="5"/>
      <c r="AV79" s="5">
        <v>0.1</v>
      </c>
      <c r="AW79" s="5"/>
      <c r="AX79" s="5">
        <v>8</v>
      </c>
      <c r="AY79" s="5">
        <v>22</v>
      </c>
      <c r="AZ79" s="5">
        <v>212</v>
      </c>
      <c r="BA79" s="5">
        <v>0</v>
      </c>
      <c r="BB79" s="5">
        <v>1.91</v>
      </c>
      <c r="BC79" s="5">
        <v>0</v>
      </c>
      <c r="BD79" s="5">
        <v>1</v>
      </c>
      <c r="BE79" s="20">
        <v>0</v>
      </c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20"/>
      <c r="CC79" s="5">
        <v>4.3</v>
      </c>
      <c r="CD79" s="5"/>
      <c r="CE79" s="20"/>
      <c r="CF79" s="5">
        <v>53.07</v>
      </c>
      <c r="CG79" s="5">
        <v>1.23</v>
      </c>
      <c r="CH79" s="5">
        <v>17.72</v>
      </c>
      <c r="CI79" s="5">
        <v>9.85</v>
      </c>
      <c r="CJ79" s="5">
        <v>0.24</v>
      </c>
      <c r="CK79" s="5">
        <v>3.52</v>
      </c>
      <c r="CL79" s="5">
        <v>8.17</v>
      </c>
      <c r="CM79" s="5">
        <v>3.79</v>
      </c>
      <c r="CN79" s="5">
        <v>0.48</v>
      </c>
      <c r="CO79" s="5">
        <v>0.21</v>
      </c>
      <c r="CP79" s="5"/>
      <c r="CQ79" s="5"/>
      <c r="CR79" s="5"/>
      <c r="CS79" s="5"/>
      <c r="CT79" s="5"/>
      <c r="CU79" s="20"/>
      <c r="CV79" s="5">
        <v>2.65</v>
      </c>
      <c r="CW79" s="5">
        <v>0.06</v>
      </c>
      <c r="CX79" s="5">
        <v>0.89</v>
      </c>
      <c r="CY79" s="5">
        <v>0.49</v>
      </c>
      <c r="CZ79" s="5">
        <v>0.01</v>
      </c>
      <c r="DA79" s="5">
        <v>0.18</v>
      </c>
      <c r="DB79" s="5">
        <v>0.41</v>
      </c>
      <c r="DC79" s="5">
        <v>0.19</v>
      </c>
      <c r="DD79" s="5">
        <v>0.02</v>
      </c>
      <c r="DE79" s="5">
        <v>0.01</v>
      </c>
      <c r="DF79" s="5"/>
      <c r="DG79" s="5"/>
      <c r="DH79" s="5"/>
      <c r="DI79" s="5"/>
      <c r="DJ79" s="5"/>
      <c r="DK79" s="20"/>
      <c r="DL79" s="5"/>
      <c r="DM79" s="5"/>
      <c r="DN79" s="5"/>
      <c r="DO79" s="5"/>
      <c r="DP79" s="5"/>
      <c r="DQ79" s="20">
        <v>73.2</v>
      </c>
      <c r="DR79" s="5"/>
      <c r="DS79" s="5"/>
      <c r="DT79" s="5"/>
      <c r="DU79" s="5"/>
      <c r="DV79" s="5"/>
      <c r="DW79" s="20">
        <v>2</v>
      </c>
      <c r="DX79" s="5"/>
      <c r="DY79" s="5"/>
      <c r="DZ79" s="5"/>
      <c r="EA79" s="5"/>
      <c r="EB79" s="5"/>
      <c r="EC79" s="5"/>
      <c r="ED79" s="5"/>
      <c r="EE79" s="5"/>
      <c r="EF79" s="5"/>
      <c r="EG79" s="20"/>
      <c r="EH79" s="5"/>
      <c r="EI79" s="5"/>
      <c r="EJ79" s="5"/>
      <c r="EK79" s="5"/>
      <c r="EL79" s="4"/>
      <c r="EM79" s="21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4"/>
    </row>
    <row r="80" spans="1:181" ht="15" x14ac:dyDescent="0.2">
      <c r="A80" s="4" t="s">
        <v>423</v>
      </c>
      <c r="B80" s="4" t="s">
        <v>1</v>
      </c>
      <c r="C80" s="4" t="s">
        <v>418</v>
      </c>
      <c r="D80" s="4" t="s">
        <v>3</v>
      </c>
      <c r="E80" s="5" t="s">
        <v>3</v>
      </c>
      <c r="F80" s="5" t="s">
        <v>378</v>
      </c>
      <c r="G80" s="5">
        <v>0.2</v>
      </c>
      <c r="H80" s="5">
        <v>0.01</v>
      </c>
      <c r="I80" s="5">
        <v>1.5</v>
      </c>
      <c r="J80" s="20">
        <v>0.3</v>
      </c>
      <c r="K80" s="5">
        <v>51.55</v>
      </c>
      <c r="L80" s="5">
        <v>1.1200000000000001</v>
      </c>
      <c r="M80" s="5">
        <v>16.88</v>
      </c>
      <c r="N80" s="5">
        <v>2.2400000000000002</v>
      </c>
      <c r="O80" s="5">
        <v>8.3000000000000007</v>
      </c>
      <c r="P80" s="5">
        <v>0.17</v>
      </c>
      <c r="Q80" s="5">
        <v>4.07</v>
      </c>
      <c r="R80" s="5">
        <v>7.66</v>
      </c>
      <c r="S80" s="5">
        <v>3.56</v>
      </c>
      <c r="T80" s="5">
        <v>0.63</v>
      </c>
      <c r="U80" s="5">
        <v>0.22</v>
      </c>
      <c r="V80" s="5"/>
      <c r="W80" s="5"/>
      <c r="X80" s="5">
        <v>3.96</v>
      </c>
      <c r="Y80" s="5"/>
      <c r="Z80" s="20">
        <v>100.4</v>
      </c>
      <c r="AA80" s="5">
        <v>1030</v>
      </c>
      <c r="AB80" s="5">
        <v>1041</v>
      </c>
      <c r="AC80" s="5">
        <v>809</v>
      </c>
      <c r="AD80" s="5"/>
      <c r="AE80" s="5">
        <v>0.9</v>
      </c>
      <c r="AF80" s="5">
        <v>0.32</v>
      </c>
      <c r="AG80" s="5">
        <v>163</v>
      </c>
      <c r="AH80" s="20">
        <v>6.5</v>
      </c>
      <c r="AI80" s="5">
        <v>2.33</v>
      </c>
      <c r="AJ80" s="5">
        <v>0.06</v>
      </c>
      <c r="AK80" s="5">
        <v>0.8</v>
      </c>
      <c r="AL80" s="5">
        <v>0.16</v>
      </c>
      <c r="AM80" s="5">
        <v>0.68</v>
      </c>
      <c r="AN80" s="5">
        <v>0.01</v>
      </c>
      <c r="AO80" s="5">
        <v>0.67</v>
      </c>
      <c r="AP80" s="5">
        <v>0.45</v>
      </c>
      <c r="AQ80" s="5">
        <v>0.19</v>
      </c>
      <c r="AR80" s="5">
        <v>0.04</v>
      </c>
      <c r="AS80" s="5">
        <v>0.01</v>
      </c>
      <c r="AT80" s="5"/>
      <c r="AU80" s="5"/>
      <c r="AV80" s="5">
        <v>0.1</v>
      </c>
      <c r="AW80" s="5"/>
      <c r="AX80" s="5">
        <v>6</v>
      </c>
      <c r="AY80" s="5">
        <v>23</v>
      </c>
      <c r="AZ80" s="5">
        <v>193</v>
      </c>
      <c r="BA80" s="5">
        <v>0</v>
      </c>
      <c r="BB80" s="5">
        <v>2.2200000000000002</v>
      </c>
      <c r="BC80" s="5">
        <v>0</v>
      </c>
      <c r="BD80" s="5">
        <v>1</v>
      </c>
      <c r="BE80" s="20">
        <v>0</v>
      </c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20"/>
      <c r="CC80" s="5">
        <v>4.2</v>
      </c>
      <c r="CD80" s="5"/>
      <c r="CE80" s="20"/>
      <c r="CF80" s="5">
        <v>51.68</v>
      </c>
      <c r="CG80" s="5">
        <v>1.1299999999999999</v>
      </c>
      <c r="CH80" s="5">
        <v>17.04</v>
      </c>
      <c r="CI80" s="5">
        <v>10.19</v>
      </c>
      <c r="CJ80" s="5">
        <v>0.17</v>
      </c>
      <c r="CK80" s="5">
        <v>3.77</v>
      </c>
      <c r="CL80" s="5">
        <v>7.73</v>
      </c>
      <c r="CM80" s="5">
        <v>3.59</v>
      </c>
      <c r="CN80" s="5">
        <v>0.63</v>
      </c>
      <c r="CO80" s="5">
        <v>0.22</v>
      </c>
      <c r="CP80" s="5"/>
      <c r="CQ80" s="5"/>
      <c r="CR80" s="5"/>
      <c r="CS80" s="5"/>
      <c r="CT80" s="5"/>
      <c r="CU80" s="20"/>
      <c r="CV80" s="5">
        <v>2.58</v>
      </c>
      <c r="CW80" s="5">
        <v>0.06</v>
      </c>
      <c r="CX80" s="5">
        <v>0.85</v>
      </c>
      <c r="CY80" s="5">
        <v>0.51</v>
      </c>
      <c r="CZ80" s="5">
        <v>0.01</v>
      </c>
      <c r="DA80" s="5">
        <v>0.19</v>
      </c>
      <c r="DB80" s="5">
        <v>0.39</v>
      </c>
      <c r="DC80" s="5">
        <v>0.18</v>
      </c>
      <c r="DD80" s="5">
        <v>0.03</v>
      </c>
      <c r="DE80" s="5">
        <v>0.01</v>
      </c>
      <c r="DF80" s="5"/>
      <c r="DG80" s="5"/>
      <c r="DH80" s="5"/>
      <c r="DI80" s="5"/>
      <c r="DJ80" s="5"/>
      <c r="DK80" s="20"/>
      <c r="DL80" s="5"/>
      <c r="DM80" s="5"/>
      <c r="DN80" s="5"/>
      <c r="DO80" s="5"/>
      <c r="DP80" s="5"/>
      <c r="DQ80" s="20">
        <v>73.2</v>
      </c>
      <c r="DR80" s="5"/>
      <c r="DS80" s="5"/>
      <c r="DT80" s="5"/>
      <c r="DU80" s="5"/>
      <c r="DV80" s="5"/>
      <c r="DW80" s="20">
        <v>2</v>
      </c>
      <c r="DX80" s="5"/>
      <c r="DY80" s="5"/>
      <c r="DZ80" s="5"/>
      <c r="EA80" s="5"/>
      <c r="EB80" s="5"/>
      <c r="EC80" s="5"/>
      <c r="ED80" s="5"/>
      <c r="EE80" s="5"/>
      <c r="EF80" s="5"/>
      <c r="EG80" s="20"/>
      <c r="EH80" s="5"/>
      <c r="EI80" s="5"/>
      <c r="EJ80" s="5"/>
      <c r="EK80" s="5"/>
      <c r="EL80" s="4"/>
      <c r="EM80" s="21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4"/>
    </row>
    <row r="81" spans="1:181" ht="15" x14ac:dyDescent="0.2">
      <c r="A81" s="4" t="s">
        <v>424</v>
      </c>
      <c r="B81" s="4" t="s">
        <v>1</v>
      </c>
      <c r="C81" s="4" t="s">
        <v>418</v>
      </c>
      <c r="D81" s="4" t="s">
        <v>3</v>
      </c>
      <c r="E81" s="5" t="s">
        <v>3</v>
      </c>
      <c r="F81" s="5" t="s">
        <v>425</v>
      </c>
      <c r="G81" s="5">
        <v>0.2</v>
      </c>
      <c r="H81" s="5">
        <v>0.01</v>
      </c>
      <c r="I81" s="5">
        <v>1.5</v>
      </c>
      <c r="J81" s="20">
        <v>0.3</v>
      </c>
      <c r="K81" s="5">
        <v>53.61</v>
      </c>
      <c r="L81" s="5">
        <v>0.81</v>
      </c>
      <c r="M81" s="5">
        <v>16.36</v>
      </c>
      <c r="N81" s="5">
        <v>2.4</v>
      </c>
      <c r="O81" s="5">
        <v>8.39</v>
      </c>
      <c r="P81" s="5">
        <v>0.22</v>
      </c>
      <c r="Q81" s="5">
        <v>3.68</v>
      </c>
      <c r="R81" s="5">
        <v>6.59</v>
      </c>
      <c r="S81" s="5">
        <v>3.88</v>
      </c>
      <c r="T81" s="5">
        <v>0.67</v>
      </c>
      <c r="U81" s="5">
        <v>0.28000000000000003</v>
      </c>
      <c r="V81" s="5"/>
      <c r="W81" s="5"/>
      <c r="X81" s="5">
        <v>4.04</v>
      </c>
      <c r="Y81" s="5"/>
      <c r="Z81" s="20">
        <v>100.9</v>
      </c>
      <c r="AA81" s="5">
        <v>1045</v>
      </c>
      <c r="AB81" s="5">
        <v>1034</v>
      </c>
      <c r="AC81" s="5">
        <v>837</v>
      </c>
      <c r="AD81" s="5"/>
      <c r="AE81" s="5">
        <v>-1</v>
      </c>
      <c r="AF81" s="5">
        <v>0.32</v>
      </c>
      <c r="AG81" s="5">
        <v>161</v>
      </c>
      <c r="AH81" s="20">
        <v>6.4</v>
      </c>
      <c r="AI81" s="5">
        <v>2.56</v>
      </c>
      <c r="AJ81" s="5">
        <v>0.04</v>
      </c>
      <c r="AK81" s="5">
        <v>0.89</v>
      </c>
      <c r="AL81" s="5">
        <v>0.16</v>
      </c>
      <c r="AM81" s="5">
        <v>0.71</v>
      </c>
      <c r="AN81" s="5">
        <v>0.01</v>
      </c>
      <c r="AO81" s="5">
        <v>0.59</v>
      </c>
      <c r="AP81" s="5">
        <v>0.32</v>
      </c>
      <c r="AQ81" s="5">
        <v>0.17</v>
      </c>
      <c r="AR81" s="5">
        <v>0.03</v>
      </c>
      <c r="AS81" s="5">
        <v>0.01</v>
      </c>
      <c r="AT81" s="5"/>
      <c r="AU81" s="5"/>
      <c r="AV81" s="5">
        <v>0.1</v>
      </c>
      <c r="AW81" s="5"/>
      <c r="AX81" s="5">
        <v>5</v>
      </c>
      <c r="AY81" s="5">
        <v>21</v>
      </c>
      <c r="AZ81" s="5">
        <v>183</v>
      </c>
      <c r="BA81" s="5">
        <v>0</v>
      </c>
      <c r="BB81" s="5">
        <v>1.91</v>
      </c>
      <c r="BC81" s="5">
        <v>0.01</v>
      </c>
      <c r="BD81" s="5">
        <v>1</v>
      </c>
      <c r="BE81" s="20">
        <v>0</v>
      </c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20"/>
      <c r="CC81" s="5">
        <v>4.4000000000000004</v>
      </c>
      <c r="CD81" s="5"/>
      <c r="CE81" s="20"/>
      <c r="CF81" s="5">
        <v>53.46</v>
      </c>
      <c r="CG81" s="5">
        <v>0.8</v>
      </c>
      <c r="CH81" s="5">
        <v>16.2</v>
      </c>
      <c r="CI81" s="5">
        <v>10.7</v>
      </c>
      <c r="CJ81" s="5">
        <v>0.22</v>
      </c>
      <c r="CK81" s="5">
        <v>3.99</v>
      </c>
      <c r="CL81" s="5">
        <v>6.53</v>
      </c>
      <c r="CM81" s="5">
        <v>3.85</v>
      </c>
      <c r="CN81" s="5">
        <v>0.66</v>
      </c>
      <c r="CO81" s="5">
        <v>0.28000000000000003</v>
      </c>
      <c r="CP81" s="5"/>
      <c r="CQ81" s="5"/>
      <c r="CR81" s="5"/>
      <c r="CS81" s="5"/>
      <c r="CT81" s="5"/>
      <c r="CU81" s="20"/>
      <c r="CV81" s="5">
        <v>2.67</v>
      </c>
      <c r="CW81" s="5">
        <v>0.04</v>
      </c>
      <c r="CX81" s="5">
        <v>0.81</v>
      </c>
      <c r="CY81" s="5">
        <v>0.53</v>
      </c>
      <c r="CZ81" s="5">
        <v>0.01</v>
      </c>
      <c r="DA81" s="5">
        <v>0.2</v>
      </c>
      <c r="DB81" s="5">
        <v>0.33</v>
      </c>
      <c r="DC81" s="5">
        <v>0.19</v>
      </c>
      <c r="DD81" s="5">
        <v>0.03</v>
      </c>
      <c r="DE81" s="5">
        <v>0.01</v>
      </c>
      <c r="DF81" s="5"/>
      <c r="DG81" s="5"/>
      <c r="DH81" s="5"/>
      <c r="DI81" s="5"/>
      <c r="DJ81" s="5"/>
      <c r="DK81" s="20"/>
      <c r="DL81" s="5"/>
      <c r="DM81" s="5"/>
      <c r="DN81" s="5"/>
      <c r="DO81" s="5"/>
      <c r="DP81" s="5"/>
      <c r="DQ81" s="20">
        <v>70.8</v>
      </c>
      <c r="DR81" s="5"/>
      <c r="DS81" s="5"/>
      <c r="DT81" s="5"/>
      <c r="DU81" s="5"/>
      <c r="DV81" s="5"/>
      <c r="DW81" s="20">
        <v>2</v>
      </c>
      <c r="DX81" s="5"/>
      <c r="DY81" s="5"/>
      <c r="DZ81" s="5"/>
      <c r="EA81" s="5"/>
      <c r="EB81" s="5"/>
      <c r="EC81" s="5"/>
      <c r="ED81" s="5"/>
      <c r="EE81" s="5"/>
      <c r="EF81" s="5"/>
      <c r="EG81" s="20"/>
      <c r="EH81" s="5"/>
      <c r="EI81" s="5"/>
      <c r="EJ81" s="5"/>
      <c r="EK81" s="5"/>
      <c r="EL81" s="4"/>
      <c r="EM81" s="21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4"/>
    </row>
    <row r="82" spans="1:181" ht="15" x14ac:dyDescent="0.2">
      <c r="A82" s="4" t="s">
        <v>426</v>
      </c>
      <c r="B82" s="4" t="s">
        <v>1</v>
      </c>
      <c r="C82" s="4" t="s">
        <v>418</v>
      </c>
      <c r="D82" s="4" t="s">
        <v>3</v>
      </c>
      <c r="E82" s="5" t="s">
        <v>3</v>
      </c>
      <c r="F82" s="5" t="s">
        <v>346</v>
      </c>
      <c r="G82" s="5">
        <v>0.2</v>
      </c>
      <c r="H82" s="5">
        <v>0.01</v>
      </c>
      <c r="I82" s="5">
        <v>1.5</v>
      </c>
      <c r="J82" s="20">
        <v>0.3</v>
      </c>
      <c r="K82" s="5">
        <v>51.12</v>
      </c>
      <c r="L82" s="5">
        <v>0.85</v>
      </c>
      <c r="M82" s="5">
        <v>16.8</v>
      </c>
      <c r="N82" s="5">
        <v>2.1800000000000002</v>
      </c>
      <c r="O82" s="5">
        <v>7.78</v>
      </c>
      <c r="P82" s="5">
        <v>0.16</v>
      </c>
      <c r="Q82" s="5">
        <v>3.6</v>
      </c>
      <c r="R82" s="5">
        <v>7.54</v>
      </c>
      <c r="S82" s="5">
        <v>3.52</v>
      </c>
      <c r="T82" s="5">
        <v>0.52</v>
      </c>
      <c r="U82" s="5">
        <v>0.22</v>
      </c>
      <c r="V82" s="5"/>
      <c r="W82" s="5"/>
      <c r="X82" s="5">
        <v>4.01</v>
      </c>
      <c r="Y82" s="5"/>
      <c r="Z82" s="20">
        <v>98.3</v>
      </c>
      <c r="AA82" s="5">
        <v>1030</v>
      </c>
      <c r="AB82" s="5">
        <v>1027</v>
      </c>
      <c r="AC82" s="5">
        <v>812</v>
      </c>
      <c r="AD82" s="5"/>
      <c r="AE82" s="5">
        <v>-0.3</v>
      </c>
      <c r="AF82" s="5">
        <v>0.32</v>
      </c>
      <c r="AG82" s="5">
        <v>163</v>
      </c>
      <c r="AH82" s="20">
        <v>6.5</v>
      </c>
      <c r="AI82" s="5">
        <v>2.42</v>
      </c>
      <c r="AJ82" s="5">
        <v>0.04</v>
      </c>
      <c r="AK82" s="5">
        <v>0.97</v>
      </c>
      <c r="AL82" s="5">
        <v>0.13</v>
      </c>
      <c r="AM82" s="5">
        <v>0.6</v>
      </c>
      <c r="AN82" s="5">
        <v>0.01</v>
      </c>
      <c r="AO82" s="5">
        <v>0.55000000000000004</v>
      </c>
      <c r="AP82" s="5">
        <v>0.39</v>
      </c>
      <c r="AQ82" s="5">
        <v>0.2</v>
      </c>
      <c r="AR82" s="5">
        <v>0.03</v>
      </c>
      <c r="AS82" s="5">
        <v>0.01</v>
      </c>
      <c r="AT82" s="5"/>
      <c r="AU82" s="5"/>
      <c r="AV82" s="5">
        <v>0.1</v>
      </c>
      <c r="AW82" s="5"/>
      <c r="AX82" s="5">
        <v>7</v>
      </c>
      <c r="AY82" s="5">
        <v>22</v>
      </c>
      <c r="AZ82" s="5">
        <v>212</v>
      </c>
      <c r="BA82" s="5">
        <v>0</v>
      </c>
      <c r="BB82" s="5">
        <v>1.91</v>
      </c>
      <c r="BC82" s="5">
        <v>0</v>
      </c>
      <c r="BD82" s="5">
        <v>1</v>
      </c>
      <c r="BE82" s="20">
        <v>0</v>
      </c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20"/>
      <c r="CC82" s="5">
        <v>4.4000000000000004</v>
      </c>
      <c r="CD82" s="5"/>
      <c r="CE82" s="20"/>
      <c r="CF82" s="5">
        <v>51.07</v>
      </c>
      <c r="CG82" s="5">
        <v>0.85</v>
      </c>
      <c r="CH82" s="5">
        <v>16.75</v>
      </c>
      <c r="CI82" s="5">
        <v>9.7899999999999991</v>
      </c>
      <c r="CJ82" s="5">
        <v>0.16</v>
      </c>
      <c r="CK82" s="5">
        <v>3.69</v>
      </c>
      <c r="CL82" s="5">
        <v>7.52</v>
      </c>
      <c r="CM82" s="5">
        <v>3.51</v>
      </c>
      <c r="CN82" s="5">
        <v>0.52</v>
      </c>
      <c r="CO82" s="5">
        <v>0.22</v>
      </c>
      <c r="CP82" s="5"/>
      <c r="CQ82" s="5"/>
      <c r="CR82" s="5"/>
      <c r="CS82" s="5"/>
      <c r="CT82" s="5"/>
      <c r="CU82" s="20"/>
      <c r="CV82" s="5">
        <v>2.5499999999999998</v>
      </c>
      <c r="CW82" s="5">
        <v>0.04</v>
      </c>
      <c r="CX82" s="5">
        <v>0.84</v>
      </c>
      <c r="CY82" s="5">
        <v>0.49</v>
      </c>
      <c r="CZ82" s="5">
        <v>0.01</v>
      </c>
      <c r="DA82" s="5">
        <v>0.18</v>
      </c>
      <c r="DB82" s="5">
        <v>0.38</v>
      </c>
      <c r="DC82" s="5">
        <v>0.18</v>
      </c>
      <c r="DD82" s="5">
        <v>0.03</v>
      </c>
      <c r="DE82" s="5">
        <v>0.01</v>
      </c>
      <c r="DF82" s="5"/>
      <c r="DG82" s="5"/>
      <c r="DH82" s="5"/>
      <c r="DI82" s="5"/>
      <c r="DJ82" s="5"/>
      <c r="DK82" s="20"/>
      <c r="DL82" s="5"/>
      <c r="DM82" s="5"/>
      <c r="DN82" s="5"/>
      <c r="DO82" s="5"/>
      <c r="DP82" s="5"/>
      <c r="DQ82" s="20">
        <v>71.900000000000006</v>
      </c>
      <c r="DR82" s="5"/>
      <c r="DS82" s="5"/>
      <c r="DT82" s="5"/>
      <c r="DU82" s="5"/>
      <c r="DV82" s="5"/>
      <c r="DW82" s="20">
        <v>2</v>
      </c>
      <c r="DX82" s="5"/>
      <c r="DY82" s="5"/>
      <c r="DZ82" s="5"/>
      <c r="EA82" s="5"/>
      <c r="EB82" s="5"/>
      <c r="EC82" s="5"/>
      <c r="ED82" s="5"/>
      <c r="EE82" s="5"/>
      <c r="EF82" s="5"/>
      <c r="EG82" s="20"/>
      <c r="EH82" s="5"/>
      <c r="EI82" s="5"/>
      <c r="EJ82" s="5"/>
      <c r="EK82" s="5"/>
      <c r="EL82" s="4"/>
      <c r="EM82" s="21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4"/>
    </row>
    <row r="83" spans="1:181" ht="15" x14ac:dyDescent="0.2">
      <c r="A83" s="4" t="s">
        <v>427</v>
      </c>
      <c r="B83" s="4" t="s">
        <v>1</v>
      </c>
      <c r="C83" s="4" t="s">
        <v>418</v>
      </c>
      <c r="D83" s="4" t="s">
        <v>3</v>
      </c>
      <c r="E83" s="5" t="s">
        <v>3</v>
      </c>
      <c r="F83" s="5" t="s">
        <v>373</v>
      </c>
      <c r="G83" s="5">
        <v>0.2</v>
      </c>
      <c r="H83" s="5">
        <v>0.01</v>
      </c>
      <c r="I83" s="5">
        <v>1.5</v>
      </c>
      <c r="J83" s="20">
        <v>0.3</v>
      </c>
      <c r="K83" s="5">
        <v>51.42</v>
      </c>
      <c r="L83" s="5">
        <v>1.1499999999999999</v>
      </c>
      <c r="M83" s="5">
        <v>16.7</v>
      </c>
      <c r="N83" s="5">
        <v>2.2599999999999998</v>
      </c>
      <c r="O83" s="5">
        <v>8.36</v>
      </c>
      <c r="P83" s="5">
        <v>0.17</v>
      </c>
      <c r="Q83" s="5">
        <v>4.16</v>
      </c>
      <c r="R83" s="5">
        <v>7.97</v>
      </c>
      <c r="S83" s="5">
        <v>3.54</v>
      </c>
      <c r="T83" s="5">
        <v>0.57999999999999996</v>
      </c>
      <c r="U83" s="5">
        <v>0.22</v>
      </c>
      <c r="V83" s="5"/>
      <c r="W83" s="5"/>
      <c r="X83" s="5">
        <v>3.97</v>
      </c>
      <c r="Y83" s="5"/>
      <c r="Z83" s="20">
        <v>100.5</v>
      </c>
      <c r="AA83" s="5">
        <v>1032</v>
      </c>
      <c r="AB83" s="5">
        <v>1043</v>
      </c>
      <c r="AC83" s="5">
        <v>814</v>
      </c>
      <c r="AD83" s="5"/>
      <c r="AE83" s="5">
        <v>0.9</v>
      </c>
      <c r="AF83" s="5">
        <v>0.32</v>
      </c>
      <c r="AG83" s="5">
        <v>162</v>
      </c>
      <c r="AH83" s="20">
        <v>6.5</v>
      </c>
      <c r="AI83" s="5">
        <v>2.2000000000000002</v>
      </c>
      <c r="AJ83" s="5">
        <v>0.06</v>
      </c>
      <c r="AK83" s="5">
        <v>0.84</v>
      </c>
      <c r="AL83" s="5">
        <v>0.16</v>
      </c>
      <c r="AM83" s="5">
        <v>0.44</v>
      </c>
      <c r="AN83" s="5">
        <v>0.01</v>
      </c>
      <c r="AO83" s="5">
        <v>0.55000000000000004</v>
      </c>
      <c r="AP83" s="5">
        <v>0.45</v>
      </c>
      <c r="AQ83" s="5">
        <v>0.2</v>
      </c>
      <c r="AR83" s="5">
        <v>0.02</v>
      </c>
      <c r="AS83" s="5">
        <v>0.01</v>
      </c>
      <c r="AT83" s="5"/>
      <c r="AU83" s="5"/>
      <c r="AV83" s="5">
        <v>0.1</v>
      </c>
      <c r="AW83" s="5"/>
      <c r="AX83" s="5">
        <v>8</v>
      </c>
      <c r="AY83" s="5">
        <v>20</v>
      </c>
      <c r="AZ83" s="5">
        <v>202</v>
      </c>
      <c r="BA83" s="5">
        <v>0</v>
      </c>
      <c r="BB83" s="5">
        <v>1.66</v>
      </c>
      <c r="BC83" s="5">
        <v>0</v>
      </c>
      <c r="BD83" s="5">
        <v>1</v>
      </c>
      <c r="BE83" s="20">
        <v>0</v>
      </c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20"/>
      <c r="CC83" s="5">
        <v>4.5</v>
      </c>
      <c r="CD83" s="5"/>
      <c r="CE83" s="20"/>
      <c r="CF83" s="5">
        <v>51.54</v>
      </c>
      <c r="CG83" s="5">
        <v>1.1599999999999999</v>
      </c>
      <c r="CH83" s="5">
        <v>16.84</v>
      </c>
      <c r="CI83" s="5">
        <v>10.27</v>
      </c>
      <c r="CJ83" s="5">
        <v>0.17</v>
      </c>
      <c r="CK83" s="5">
        <v>3.87</v>
      </c>
      <c r="CL83" s="5">
        <v>8.0299999999999994</v>
      </c>
      <c r="CM83" s="5">
        <v>3.57</v>
      </c>
      <c r="CN83" s="5">
        <v>0.57999999999999996</v>
      </c>
      <c r="CO83" s="5">
        <v>0.23</v>
      </c>
      <c r="CP83" s="5"/>
      <c r="CQ83" s="5"/>
      <c r="CR83" s="5"/>
      <c r="CS83" s="5"/>
      <c r="CT83" s="5"/>
      <c r="CU83" s="20"/>
      <c r="CV83" s="5">
        <v>2.58</v>
      </c>
      <c r="CW83" s="5">
        <v>0.06</v>
      </c>
      <c r="CX83" s="5">
        <v>0.84</v>
      </c>
      <c r="CY83" s="5">
        <v>0.51</v>
      </c>
      <c r="CZ83" s="5">
        <v>0.01</v>
      </c>
      <c r="DA83" s="5">
        <v>0.19</v>
      </c>
      <c r="DB83" s="5">
        <v>0.4</v>
      </c>
      <c r="DC83" s="5">
        <v>0.18</v>
      </c>
      <c r="DD83" s="5">
        <v>0.03</v>
      </c>
      <c r="DE83" s="5">
        <v>0.01</v>
      </c>
      <c r="DF83" s="5"/>
      <c r="DG83" s="5"/>
      <c r="DH83" s="5"/>
      <c r="DI83" s="5"/>
      <c r="DJ83" s="5"/>
      <c r="DK83" s="20"/>
      <c r="DL83" s="5"/>
      <c r="DM83" s="5"/>
      <c r="DN83" s="5"/>
      <c r="DO83" s="5"/>
      <c r="DP83" s="5"/>
      <c r="DQ83" s="20">
        <v>73.5</v>
      </c>
      <c r="DR83" s="5"/>
      <c r="DS83" s="5"/>
      <c r="DT83" s="5"/>
      <c r="DU83" s="5"/>
      <c r="DV83" s="5"/>
      <c r="DW83" s="20">
        <v>2</v>
      </c>
      <c r="DX83" s="5"/>
      <c r="DY83" s="5"/>
      <c r="DZ83" s="5"/>
      <c r="EA83" s="5"/>
      <c r="EB83" s="5"/>
      <c r="EC83" s="5"/>
      <c r="ED83" s="5"/>
      <c r="EE83" s="5"/>
      <c r="EF83" s="5"/>
      <c r="EG83" s="20"/>
      <c r="EH83" s="5"/>
      <c r="EI83" s="5"/>
      <c r="EJ83" s="5"/>
      <c r="EK83" s="5"/>
      <c r="EL83" s="4"/>
      <c r="EM83" s="21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4"/>
    </row>
    <row r="84" spans="1:181" ht="15" x14ac:dyDescent="0.2">
      <c r="A84" s="4" t="s">
        <v>428</v>
      </c>
      <c r="B84" s="4" t="s">
        <v>1</v>
      </c>
      <c r="C84" s="4" t="s">
        <v>418</v>
      </c>
      <c r="D84" s="4" t="s">
        <v>3</v>
      </c>
      <c r="E84" s="5" t="s">
        <v>3</v>
      </c>
      <c r="F84" s="5" t="s">
        <v>429</v>
      </c>
      <c r="G84" s="5">
        <v>0.2</v>
      </c>
      <c r="H84" s="5">
        <v>0.01</v>
      </c>
      <c r="I84" s="5">
        <v>1.5</v>
      </c>
      <c r="J84" s="20">
        <v>0.3</v>
      </c>
      <c r="K84" s="5">
        <v>51.44</v>
      </c>
      <c r="L84" s="5">
        <v>1.2</v>
      </c>
      <c r="M84" s="5">
        <v>16.41</v>
      </c>
      <c r="N84" s="5">
        <v>2.13</v>
      </c>
      <c r="O84" s="5">
        <v>9.0500000000000007</v>
      </c>
      <c r="P84" s="5">
        <v>0.16</v>
      </c>
      <c r="Q84" s="5">
        <v>4.5</v>
      </c>
      <c r="R84" s="5">
        <v>8.1199999999999992</v>
      </c>
      <c r="S84" s="5">
        <v>3.48</v>
      </c>
      <c r="T84" s="5">
        <v>0.51</v>
      </c>
      <c r="U84" s="5">
        <v>0.22</v>
      </c>
      <c r="V84" s="5"/>
      <c r="W84" s="5"/>
      <c r="X84" s="5">
        <v>3.8</v>
      </c>
      <c r="Y84" s="5"/>
      <c r="Z84" s="20">
        <v>101</v>
      </c>
      <c r="AA84" s="5">
        <v>995</v>
      </c>
      <c r="AB84" s="5">
        <v>1057</v>
      </c>
      <c r="AC84" s="5">
        <v>765</v>
      </c>
      <c r="AD84" s="5"/>
      <c r="AE84" s="5">
        <v>5.3</v>
      </c>
      <c r="AF84" s="5">
        <v>0.32</v>
      </c>
      <c r="AG84" s="5">
        <v>167</v>
      </c>
      <c r="AH84" s="20">
        <v>6.7</v>
      </c>
      <c r="AI84" s="5">
        <v>2.27</v>
      </c>
      <c r="AJ84" s="5">
        <v>7.0000000000000007E-2</v>
      </c>
      <c r="AK84" s="5">
        <v>0.8</v>
      </c>
      <c r="AL84" s="5">
        <v>0.13</v>
      </c>
      <c r="AM84" s="5">
        <v>0.69</v>
      </c>
      <c r="AN84" s="5">
        <v>0.01</v>
      </c>
      <c r="AO84" s="5">
        <v>0.56000000000000005</v>
      </c>
      <c r="AP84" s="5">
        <v>0.35</v>
      </c>
      <c r="AQ84" s="5">
        <v>0.2</v>
      </c>
      <c r="AR84" s="5">
        <v>0.03</v>
      </c>
      <c r="AS84" s="5">
        <v>0.01</v>
      </c>
      <c r="AT84" s="5"/>
      <c r="AU84" s="5"/>
      <c r="AV84" s="5">
        <v>0.1</v>
      </c>
      <c r="AW84" s="5"/>
      <c r="AX84" s="5">
        <v>6</v>
      </c>
      <c r="AY84" s="5">
        <v>20</v>
      </c>
      <c r="AZ84" s="5">
        <v>180</v>
      </c>
      <c r="BA84" s="5">
        <v>0</v>
      </c>
      <c r="BB84" s="5">
        <v>2.11</v>
      </c>
      <c r="BC84" s="5">
        <v>0</v>
      </c>
      <c r="BD84" s="5">
        <v>1</v>
      </c>
      <c r="BE84" s="20">
        <v>0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20"/>
      <c r="CC84" s="5">
        <v>4.2</v>
      </c>
      <c r="CD84" s="5"/>
      <c r="CE84" s="20"/>
      <c r="CF84" s="5">
        <v>52.15</v>
      </c>
      <c r="CG84" s="5">
        <v>1.26</v>
      </c>
      <c r="CH84" s="5">
        <v>17.28</v>
      </c>
      <c r="CI84" s="5">
        <v>10.1</v>
      </c>
      <c r="CJ84" s="5">
        <v>0.17</v>
      </c>
      <c r="CK84" s="5">
        <v>2.85</v>
      </c>
      <c r="CL84" s="5">
        <v>8.5500000000000007</v>
      </c>
      <c r="CM84" s="5">
        <v>3.66</v>
      </c>
      <c r="CN84" s="5">
        <v>0.54</v>
      </c>
      <c r="CO84" s="5">
        <v>0.23</v>
      </c>
      <c r="CP84" s="5"/>
      <c r="CQ84" s="5"/>
      <c r="CR84" s="5"/>
      <c r="CS84" s="5"/>
      <c r="CT84" s="5"/>
      <c r="CU84" s="20"/>
      <c r="CV84" s="5">
        <v>2.61</v>
      </c>
      <c r="CW84" s="5">
        <v>0.06</v>
      </c>
      <c r="CX84" s="5">
        <v>0.86</v>
      </c>
      <c r="CY84" s="5">
        <v>0.51</v>
      </c>
      <c r="CZ84" s="5">
        <v>0.01</v>
      </c>
      <c r="DA84" s="5">
        <v>0.14000000000000001</v>
      </c>
      <c r="DB84" s="5">
        <v>0.43</v>
      </c>
      <c r="DC84" s="5">
        <v>0.18</v>
      </c>
      <c r="DD84" s="5">
        <v>0.03</v>
      </c>
      <c r="DE84" s="5">
        <v>0.01</v>
      </c>
      <c r="DF84" s="5"/>
      <c r="DG84" s="5"/>
      <c r="DH84" s="5"/>
      <c r="DI84" s="5"/>
      <c r="DJ84" s="5"/>
      <c r="DK84" s="20"/>
      <c r="DL84" s="5"/>
      <c r="DM84" s="5"/>
      <c r="DN84" s="5"/>
      <c r="DO84" s="5"/>
      <c r="DP84" s="5"/>
      <c r="DQ84" s="20">
        <v>73.3</v>
      </c>
      <c r="DR84" s="5"/>
      <c r="DS84" s="5"/>
      <c r="DT84" s="5"/>
      <c r="DU84" s="5"/>
      <c r="DV84" s="5"/>
      <c r="DW84" s="20">
        <v>2</v>
      </c>
      <c r="DX84" s="5"/>
      <c r="DY84" s="5"/>
      <c r="DZ84" s="5"/>
      <c r="EA84" s="5"/>
      <c r="EB84" s="5"/>
      <c r="EC84" s="5"/>
      <c r="ED84" s="5"/>
      <c r="EE84" s="5"/>
      <c r="EF84" s="5"/>
      <c r="EG84" s="20"/>
      <c r="EH84" s="5"/>
      <c r="EI84" s="5"/>
      <c r="EJ84" s="5"/>
      <c r="EK84" s="5"/>
      <c r="EL84" s="4"/>
      <c r="EM84" s="21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4"/>
    </row>
    <row r="85" spans="1:181" ht="15" x14ac:dyDescent="0.2">
      <c r="A85" s="4" t="s">
        <v>430</v>
      </c>
      <c r="B85" s="4" t="s">
        <v>1</v>
      </c>
      <c r="C85" s="4" t="s">
        <v>418</v>
      </c>
      <c r="D85" s="4" t="s">
        <v>3</v>
      </c>
      <c r="E85" s="5" t="s">
        <v>3</v>
      </c>
      <c r="F85" s="5" t="s">
        <v>431</v>
      </c>
      <c r="G85" s="5">
        <v>0.2</v>
      </c>
      <c r="H85" s="5">
        <v>0.01</v>
      </c>
      <c r="I85" s="5">
        <v>1.5</v>
      </c>
      <c r="J85" s="20">
        <v>0.3</v>
      </c>
      <c r="K85" s="5">
        <v>52.54</v>
      </c>
      <c r="L85" s="5">
        <v>1.22</v>
      </c>
      <c r="M85" s="5">
        <v>16.850000000000001</v>
      </c>
      <c r="N85" s="5">
        <v>2.23</v>
      </c>
      <c r="O85" s="5">
        <v>7.62</v>
      </c>
      <c r="P85" s="5">
        <v>0.18</v>
      </c>
      <c r="Q85" s="5">
        <v>3.62</v>
      </c>
      <c r="R85" s="5">
        <v>7.47</v>
      </c>
      <c r="S85" s="5">
        <v>3.75</v>
      </c>
      <c r="T85" s="5">
        <v>0.67</v>
      </c>
      <c r="U85" s="5">
        <v>0.21</v>
      </c>
      <c r="V85" s="5"/>
      <c r="W85" s="5"/>
      <c r="X85" s="5">
        <v>4.07</v>
      </c>
      <c r="Y85" s="5"/>
      <c r="Z85" s="20">
        <v>100.4</v>
      </c>
      <c r="AA85" s="5">
        <v>1045</v>
      </c>
      <c r="AB85" s="5">
        <v>1023</v>
      </c>
      <c r="AC85" s="5">
        <v>833</v>
      </c>
      <c r="AD85" s="5"/>
      <c r="AE85" s="5">
        <v>-1.8</v>
      </c>
      <c r="AF85" s="5">
        <v>0.32</v>
      </c>
      <c r="AG85" s="5">
        <v>161</v>
      </c>
      <c r="AH85" s="20">
        <v>6.4</v>
      </c>
      <c r="AI85" s="5">
        <v>2.64</v>
      </c>
      <c r="AJ85" s="5">
        <v>0.06</v>
      </c>
      <c r="AK85" s="5">
        <v>0.88</v>
      </c>
      <c r="AL85" s="5">
        <v>0.16</v>
      </c>
      <c r="AM85" s="5">
        <v>0.65</v>
      </c>
      <c r="AN85" s="5">
        <v>0.01</v>
      </c>
      <c r="AO85" s="5">
        <v>0.62</v>
      </c>
      <c r="AP85" s="5">
        <v>0.42</v>
      </c>
      <c r="AQ85" s="5">
        <v>0.19</v>
      </c>
      <c r="AR85" s="5">
        <v>0.03</v>
      </c>
      <c r="AS85" s="5">
        <v>0.01</v>
      </c>
      <c r="AT85" s="5"/>
      <c r="AU85" s="5"/>
      <c r="AV85" s="5">
        <v>0.1</v>
      </c>
      <c r="AW85" s="5"/>
      <c r="AX85" s="5">
        <v>6</v>
      </c>
      <c r="AY85" s="5">
        <v>23</v>
      </c>
      <c r="AZ85" s="5">
        <v>232</v>
      </c>
      <c r="BA85" s="5">
        <v>0</v>
      </c>
      <c r="BB85" s="5">
        <v>1.84</v>
      </c>
      <c r="BC85" s="5">
        <v>0</v>
      </c>
      <c r="BD85" s="5">
        <v>1</v>
      </c>
      <c r="BE85" s="20">
        <v>0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20"/>
      <c r="CC85" s="5">
        <v>4.0999999999999996</v>
      </c>
      <c r="CD85" s="5"/>
      <c r="CE85" s="20"/>
      <c r="CF85" s="5">
        <v>52.3</v>
      </c>
      <c r="CG85" s="5">
        <v>1.2</v>
      </c>
      <c r="CH85" s="5">
        <v>16.559999999999999</v>
      </c>
      <c r="CI85" s="5">
        <v>9.8800000000000008</v>
      </c>
      <c r="CJ85" s="5">
        <v>0.18</v>
      </c>
      <c r="CK85" s="5">
        <v>4.22</v>
      </c>
      <c r="CL85" s="5">
        <v>7.34</v>
      </c>
      <c r="CM85" s="5">
        <v>3.68</v>
      </c>
      <c r="CN85" s="5">
        <v>0.66</v>
      </c>
      <c r="CO85" s="5">
        <v>0.21</v>
      </c>
      <c r="CP85" s="5"/>
      <c r="CQ85" s="5"/>
      <c r="CR85" s="5"/>
      <c r="CS85" s="5"/>
      <c r="CT85" s="5"/>
      <c r="CU85" s="20"/>
      <c r="CV85" s="5">
        <v>2.61</v>
      </c>
      <c r="CW85" s="5">
        <v>0.06</v>
      </c>
      <c r="CX85" s="5">
        <v>0.83</v>
      </c>
      <c r="CY85" s="5">
        <v>0.49</v>
      </c>
      <c r="CZ85" s="5">
        <v>0.01</v>
      </c>
      <c r="DA85" s="5">
        <v>0.21</v>
      </c>
      <c r="DB85" s="5">
        <v>0.37</v>
      </c>
      <c r="DC85" s="5">
        <v>0.18</v>
      </c>
      <c r="DD85" s="5">
        <v>0.03</v>
      </c>
      <c r="DE85" s="5">
        <v>0.01</v>
      </c>
      <c r="DF85" s="5"/>
      <c r="DG85" s="5"/>
      <c r="DH85" s="5"/>
      <c r="DI85" s="5"/>
      <c r="DJ85" s="5"/>
      <c r="DK85" s="20"/>
      <c r="DL85" s="5"/>
      <c r="DM85" s="5"/>
      <c r="DN85" s="5"/>
      <c r="DO85" s="5"/>
      <c r="DP85" s="5"/>
      <c r="DQ85" s="20">
        <v>72.8</v>
      </c>
      <c r="DR85" s="5"/>
      <c r="DS85" s="5"/>
      <c r="DT85" s="5"/>
      <c r="DU85" s="5"/>
      <c r="DV85" s="5"/>
      <c r="DW85" s="20">
        <v>2</v>
      </c>
      <c r="DX85" s="5"/>
      <c r="DY85" s="5"/>
      <c r="DZ85" s="5"/>
      <c r="EA85" s="5"/>
      <c r="EB85" s="5"/>
      <c r="EC85" s="5"/>
      <c r="ED85" s="5"/>
      <c r="EE85" s="5"/>
      <c r="EF85" s="5"/>
      <c r="EG85" s="20"/>
      <c r="EH85" s="5"/>
      <c r="EI85" s="5"/>
      <c r="EJ85" s="5"/>
      <c r="EK85" s="5"/>
      <c r="EL85" s="4"/>
      <c r="EM85" s="21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4"/>
    </row>
    <row r="86" spans="1:181" ht="15" x14ac:dyDescent="0.2">
      <c r="A86" s="4" t="s">
        <v>432</v>
      </c>
      <c r="B86" s="4" t="s">
        <v>1</v>
      </c>
      <c r="C86" s="4" t="s">
        <v>418</v>
      </c>
      <c r="D86" s="4" t="s">
        <v>3</v>
      </c>
      <c r="E86" s="5" t="s">
        <v>3</v>
      </c>
      <c r="F86" s="5" t="s">
        <v>394</v>
      </c>
      <c r="G86" s="5">
        <v>0.2</v>
      </c>
      <c r="H86" s="5">
        <v>0.01</v>
      </c>
      <c r="I86" s="5"/>
      <c r="J86" s="20"/>
      <c r="K86" s="5">
        <v>52.16</v>
      </c>
      <c r="L86" s="5">
        <v>1.23</v>
      </c>
      <c r="M86" s="5">
        <v>16.64</v>
      </c>
      <c r="N86" s="5">
        <v>1.96</v>
      </c>
      <c r="O86" s="5">
        <v>7.53</v>
      </c>
      <c r="P86" s="5">
        <v>0.16</v>
      </c>
      <c r="Q86" s="5">
        <v>4.28</v>
      </c>
      <c r="R86" s="5">
        <v>8.06</v>
      </c>
      <c r="S86" s="5">
        <v>2.65</v>
      </c>
      <c r="T86" s="5">
        <v>0.77</v>
      </c>
      <c r="U86" s="5">
        <v>0.24</v>
      </c>
      <c r="V86" s="5"/>
      <c r="W86" s="5"/>
      <c r="X86" s="5">
        <v>3.92</v>
      </c>
      <c r="Y86" s="5"/>
      <c r="Z86" s="20">
        <v>99.6</v>
      </c>
      <c r="AA86" s="5">
        <v>1016</v>
      </c>
      <c r="AB86" s="5">
        <v>1042</v>
      </c>
      <c r="AC86" s="5">
        <v>794</v>
      </c>
      <c r="AD86" s="5"/>
      <c r="AE86" s="5">
        <v>2.1</v>
      </c>
      <c r="AF86" s="5">
        <v>0.33</v>
      </c>
      <c r="AG86" s="5">
        <v>164</v>
      </c>
      <c r="AH86" s="20">
        <v>6.6</v>
      </c>
      <c r="AI86" s="5">
        <v>2.62</v>
      </c>
      <c r="AJ86" s="5">
        <v>7.0000000000000007E-2</v>
      </c>
      <c r="AK86" s="5">
        <v>0.87</v>
      </c>
      <c r="AL86" s="5">
        <v>0.12</v>
      </c>
      <c r="AM86" s="5">
        <v>0.72</v>
      </c>
      <c r="AN86" s="5">
        <v>0.01</v>
      </c>
      <c r="AO86" s="5">
        <v>0.87</v>
      </c>
      <c r="AP86" s="5">
        <v>0.41</v>
      </c>
      <c r="AQ86" s="5">
        <v>0.12</v>
      </c>
      <c r="AR86" s="5">
        <v>0.04</v>
      </c>
      <c r="AS86" s="5">
        <v>0.01</v>
      </c>
      <c r="AT86" s="5"/>
      <c r="AU86" s="5"/>
      <c r="AV86" s="5">
        <v>0.1</v>
      </c>
      <c r="AW86" s="5"/>
      <c r="AX86" s="5">
        <v>7</v>
      </c>
      <c r="AY86" s="5">
        <v>29</v>
      </c>
      <c r="AZ86" s="5">
        <v>227</v>
      </c>
      <c r="BA86" s="5">
        <v>0</v>
      </c>
      <c r="BB86" s="5">
        <v>2.71</v>
      </c>
      <c r="BC86" s="5">
        <v>0</v>
      </c>
      <c r="BD86" s="5">
        <v>1</v>
      </c>
      <c r="BE86" s="20">
        <v>0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20"/>
      <c r="CC86" s="5">
        <v>4.4000000000000004</v>
      </c>
      <c r="CD86" s="5"/>
      <c r="CE86" s="20"/>
      <c r="CF86" s="5">
        <v>52.45</v>
      </c>
      <c r="CG86" s="5">
        <v>1.25</v>
      </c>
      <c r="CH86" s="5">
        <v>16.98</v>
      </c>
      <c r="CI86" s="5">
        <v>9</v>
      </c>
      <c r="CJ86" s="5">
        <v>0.16</v>
      </c>
      <c r="CK86" s="5">
        <v>3.58</v>
      </c>
      <c r="CL86" s="5">
        <v>8.23</v>
      </c>
      <c r="CM86" s="5">
        <v>2.7</v>
      </c>
      <c r="CN86" s="5">
        <v>0.79</v>
      </c>
      <c r="CO86" s="5">
        <v>0.25</v>
      </c>
      <c r="CP86" s="5"/>
      <c r="CQ86" s="5"/>
      <c r="CR86" s="5"/>
      <c r="CS86" s="5"/>
      <c r="CT86" s="5"/>
      <c r="CU86" s="20"/>
      <c r="CV86" s="5">
        <v>2.62</v>
      </c>
      <c r="CW86" s="5">
        <v>0.06</v>
      </c>
      <c r="CX86" s="5">
        <v>0.85</v>
      </c>
      <c r="CY86" s="5">
        <v>0.45</v>
      </c>
      <c r="CZ86" s="5">
        <v>0.01</v>
      </c>
      <c r="DA86" s="5">
        <v>0.18</v>
      </c>
      <c r="DB86" s="5">
        <v>0.41</v>
      </c>
      <c r="DC86" s="5">
        <v>0.14000000000000001</v>
      </c>
      <c r="DD86" s="5">
        <v>0.04</v>
      </c>
      <c r="DE86" s="5">
        <v>0.01</v>
      </c>
      <c r="DF86" s="5"/>
      <c r="DG86" s="5"/>
      <c r="DH86" s="5"/>
      <c r="DI86" s="5"/>
      <c r="DJ86" s="5"/>
      <c r="DK86" s="20"/>
      <c r="DL86" s="5"/>
      <c r="DM86" s="5"/>
      <c r="DN86" s="5"/>
      <c r="DO86" s="5"/>
      <c r="DP86" s="5"/>
      <c r="DQ86" s="20">
        <v>75.5</v>
      </c>
      <c r="DR86" s="5"/>
      <c r="DS86" s="5"/>
      <c r="DT86" s="5"/>
      <c r="DU86" s="5"/>
      <c r="DV86" s="5"/>
      <c r="DW86" s="20">
        <v>2</v>
      </c>
      <c r="DX86" s="5"/>
      <c r="DY86" s="5"/>
      <c r="DZ86" s="5"/>
      <c r="EA86" s="5"/>
      <c r="EB86" s="5"/>
      <c r="EC86" s="5"/>
      <c r="ED86" s="5"/>
      <c r="EE86" s="5"/>
      <c r="EF86" s="5"/>
      <c r="EG86" s="20"/>
      <c r="EH86" s="5"/>
      <c r="EI86" s="5"/>
      <c r="EJ86" s="5"/>
      <c r="EK86" s="5"/>
      <c r="EL86" s="4"/>
      <c r="EM86" s="21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4"/>
    </row>
    <row r="87" spans="1:181" ht="15" x14ac:dyDescent="0.2">
      <c r="A87" s="4" t="s">
        <v>433</v>
      </c>
      <c r="B87" s="4" t="s">
        <v>1</v>
      </c>
      <c r="C87" s="4" t="s">
        <v>418</v>
      </c>
      <c r="D87" s="4" t="s">
        <v>3</v>
      </c>
      <c r="E87" s="5" t="s">
        <v>3</v>
      </c>
      <c r="F87" s="5" t="s">
        <v>394</v>
      </c>
      <c r="G87" s="5">
        <v>0.2</v>
      </c>
      <c r="H87" s="5">
        <v>0.01</v>
      </c>
      <c r="I87" s="5"/>
      <c r="J87" s="20"/>
      <c r="K87" s="5">
        <v>49.34</v>
      </c>
      <c r="L87" s="5">
        <v>0.96</v>
      </c>
      <c r="M87" s="5">
        <v>18.34</v>
      </c>
      <c r="N87" s="5">
        <v>1.89</v>
      </c>
      <c r="O87" s="5">
        <v>8.39</v>
      </c>
      <c r="P87" s="5">
        <v>0.15</v>
      </c>
      <c r="Q87" s="5">
        <v>4.9000000000000004</v>
      </c>
      <c r="R87" s="5">
        <v>9.15</v>
      </c>
      <c r="S87" s="5">
        <v>1.76</v>
      </c>
      <c r="T87" s="5">
        <v>0.54</v>
      </c>
      <c r="U87" s="5">
        <v>0.17</v>
      </c>
      <c r="V87" s="5"/>
      <c r="W87" s="5"/>
      <c r="X87" s="5">
        <v>3.75</v>
      </c>
      <c r="Y87" s="5"/>
      <c r="Z87" s="20">
        <v>99.3</v>
      </c>
      <c r="AA87" s="5">
        <v>980</v>
      </c>
      <c r="AB87" s="5">
        <v>1058</v>
      </c>
      <c r="AC87" s="5">
        <v>726</v>
      </c>
      <c r="AD87" s="5"/>
      <c r="AE87" s="5">
        <v>6.7</v>
      </c>
      <c r="AF87" s="5">
        <v>0.34</v>
      </c>
      <c r="AG87" s="5">
        <v>170</v>
      </c>
      <c r="AH87" s="20">
        <v>6.8</v>
      </c>
      <c r="AI87" s="5">
        <v>2.64</v>
      </c>
      <c r="AJ87" s="5">
        <v>0.06</v>
      </c>
      <c r="AK87" s="5">
        <v>1.05</v>
      </c>
      <c r="AL87" s="5">
        <v>0.12</v>
      </c>
      <c r="AM87" s="5">
        <v>0.63</v>
      </c>
      <c r="AN87" s="5">
        <v>0.01</v>
      </c>
      <c r="AO87" s="5">
        <v>0.77</v>
      </c>
      <c r="AP87" s="5">
        <v>0.47</v>
      </c>
      <c r="AQ87" s="5">
        <v>0.11</v>
      </c>
      <c r="AR87" s="5">
        <v>0.03</v>
      </c>
      <c r="AS87" s="5">
        <v>0.01</v>
      </c>
      <c r="AT87" s="5"/>
      <c r="AU87" s="5"/>
      <c r="AV87" s="5">
        <v>0.1</v>
      </c>
      <c r="AW87" s="5"/>
      <c r="AX87" s="5">
        <v>7</v>
      </c>
      <c r="AY87" s="5">
        <v>23</v>
      </c>
      <c r="AZ87" s="5">
        <v>178</v>
      </c>
      <c r="BA87" s="5">
        <v>0</v>
      </c>
      <c r="BB87" s="5">
        <v>2.34</v>
      </c>
      <c r="BC87" s="5">
        <v>0.01</v>
      </c>
      <c r="BD87" s="5">
        <v>1</v>
      </c>
      <c r="BE87" s="20">
        <v>0.1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20"/>
      <c r="CC87" s="5">
        <v>4</v>
      </c>
      <c r="CD87" s="5"/>
      <c r="CE87" s="20"/>
      <c r="CF87" s="5">
        <v>50.13</v>
      </c>
      <c r="CG87" s="5">
        <v>1.03</v>
      </c>
      <c r="CH87" s="5">
        <v>19.559999999999999</v>
      </c>
      <c r="CI87" s="5">
        <v>9.0500000000000007</v>
      </c>
      <c r="CJ87" s="5">
        <v>0.16</v>
      </c>
      <c r="CK87" s="5">
        <v>2.81</v>
      </c>
      <c r="CL87" s="5">
        <v>9.76</v>
      </c>
      <c r="CM87" s="5">
        <v>1.88</v>
      </c>
      <c r="CN87" s="5">
        <v>0.57999999999999996</v>
      </c>
      <c r="CO87" s="5">
        <v>0.18</v>
      </c>
      <c r="CP87" s="5"/>
      <c r="CQ87" s="5"/>
      <c r="CR87" s="5"/>
      <c r="CS87" s="5"/>
      <c r="CT87" s="5"/>
      <c r="CU87" s="20"/>
      <c r="CV87" s="5">
        <v>2.5099999999999998</v>
      </c>
      <c r="CW87" s="5">
        <v>0.05</v>
      </c>
      <c r="CX87" s="5">
        <v>0.98</v>
      </c>
      <c r="CY87" s="5">
        <v>0.45</v>
      </c>
      <c r="CZ87" s="5">
        <v>0.01</v>
      </c>
      <c r="DA87" s="5">
        <v>0.14000000000000001</v>
      </c>
      <c r="DB87" s="5">
        <v>0.49</v>
      </c>
      <c r="DC87" s="5">
        <v>0.09</v>
      </c>
      <c r="DD87" s="5">
        <v>0.03</v>
      </c>
      <c r="DE87" s="5">
        <v>0.01</v>
      </c>
      <c r="DF87" s="5"/>
      <c r="DG87" s="5"/>
      <c r="DH87" s="5"/>
      <c r="DI87" s="5"/>
      <c r="DJ87" s="5"/>
      <c r="DK87" s="20"/>
      <c r="DL87" s="5"/>
      <c r="DM87" s="5"/>
      <c r="DN87" s="5"/>
      <c r="DO87" s="5"/>
      <c r="DP87" s="5"/>
      <c r="DQ87" s="20">
        <v>75.5</v>
      </c>
      <c r="DR87" s="5"/>
      <c r="DS87" s="5"/>
      <c r="DT87" s="5"/>
      <c r="DU87" s="5"/>
      <c r="DV87" s="5"/>
      <c r="DW87" s="20">
        <v>2</v>
      </c>
      <c r="DX87" s="5"/>
      <c r="DY87" s="5"/>
      <c r="DZ87" s="5"/>
      <c r="EA87" s="5"/>
      <c r="EB87" s="5"/>
      <c r="EC87" s="5"/>
      <c r="ED87" s="5"/>
      <c r="EE87" s="5"/>
      <c r="EF87" s="5"/>
      <c r="EG87" s="20"/>
      <c r="EH87" s="5"/>
      <c r="EI87" s="5"/>
      <c r="EJ87" s="5"/>
      <c r="EK87" s="5"/>
      <c r="EL87" s="4"/>
      <c r="EM87" s="21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4"/>
    </row>
    <row r="88" spans="1:181" ht="15" x14ac:dyDescent="0.2">
      <c r="A88" s="4" t="s">
        <v>434</v>
      </c>
      <c r="B88" s="4" t="s">
        <v>1</v>
      </c>
      <c r="C88" s="4" t="s">
        <v>418</v>
      </c>
      <c r="D88" s="4" t="s">
        <v>3</v>
      </c>
      <c r="E88" s="5" t="s">
        <v>3</v>
      </c>
      <c r="F88" s="5" t="s">
        <v>394</v>
      </c>
      <c r="G88" s="5">
        <v>0.2</v>
      </c>
      <c r="H88" s="5">
        <v>0.01</v>
      </c>
      <c r="I88" s="5"/>
      <c r="J88" s="20"/>
      <c r="K88" s="5">
        <v>51.58</v>
      </c>
      <c r="L88" s="5">
        <v>1.21</v>
      </c>
      <c r="M88" s="5">
        <v>17.489999999999998</v>
      </c>
      <c r="N88" s="5">
        <v>2.2599999999999998</v>
      </c>
      <c r="O88" s="5">
        <v>8.35</v>
      </c>
      <c r="P88" s="5">
        <v>0.21</v>
      </c>
      <c r="Q88" s="5">
        <v>4.16</v>
      </c>
      <c r="R88" s="5">
        <v>8.7200000000000006</v>
      </c>
      <c r="S88" s="5">
        <v>3.54</v>
      </c>
      <c r="T88" s="5">
        <v>0.86</v>
      </c>
      <c r="U88" s="5">
        <v>0.2</v>
      </c>
      <c r="V88" s="5"/>
      <c r="W88" s="5"/>
      <c r="X88" s="5">
        <v>3.97</v>
      </c>
      <c r="Y88" s="5"/>
      <c r="Z88" s="20">
        <v>102.5</v>
      </c>
      <c r="AA88" s="5">
        <v>1027</v>
      </c>
      <c r="AB88" s="5">
        <v>1037</v>
      </c>
      <c r="AC88" s="5">
        <v>800</v>
      </c>
      <c r="AD88" s="5"/>
      <c r="AE88" s="5">
        <v>0.8</v>
      </c>
      <c r="AF88" s="5">
        <v>0.32</v>
      </c>
      <c r="AG88" s="5">
        <v>163</v>
      </c>
      <c r="AH88" s="20">
        <v>6.5</v>
      </c>
      <c r="AI88" s="5">
        <v>2.9</v>
      </c>
      <c r="AJ88" s="5">
        <v>7.0000000000000007E-2</v>
      </c>
      <c r="AK88" s="5">
        <v>1.17</v>
      </c>
      <c r="AL88" s="5">
        <v>0.18</v>
      </c>
      <c r="AM88" s="5">
        <v>0.78</v>
      </c>
      <c r="AN88" s="5">
        <v>0.01</v>
      </c>
      <c r="AO88" s="5">
        <v>0.76</v>
      </c>
      <c r="AP88" s="5">
        <v>0.54</v>
      </c>
      <c r="AQ88" s="5">
        <v>0.19</v>
      </c>
      <c r="AR88" s="5">
        <v>0.05</v>
      </c>
      <c r="AS88" s="5">
        <v>0.01</v>
      </c>
      <c r="AT88" s="5"/>
      <c r="AU88" s="5"/>
      <c r="AV88" s="5">
        <v>0.1</v>
      </c>
      <c r="AW88" s="5"/>
      <c r="AX88" s="5">
        <v>8</v>
      </c>
      <c r="AY88" s="5">
        <v>28</v>
      </c>
      <c r="AZ88" s="5">
        <v>202</v>
      </c>
      <c r="BA88" s="5">
        <v>0</v>
      </c>
      <c r="BB88" s="5">
        <v>2.56</v>
      </c>
      <c r="BC88" s="5">
        <v>0</v>
      </c>
      <c r="BD88" s="5">
        <v>2</v>
      </c>
      <c r="BE88" s="20">
        <v>0.1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20"/>
      <c r="CC88" s="5">
        <v>4</v>
      </c>
      <c r="CD88" s="5"/>
      <c r="CE88" s="20"/>
      <c r="CF88" s="5">
        <v>51.68</v>
      </c>
      <c r="CG88" s="5">
        <v>1.22</v>
      </c>
      <c r="CH88" s="5">
        <v>17.63</v>
      </c>
      <c r="CI88" s="5">
        <v>10.27</v>
      </c>
      <c r="CJ88" s="5">
        <v>0.21</v>
      </c>
      <c r="CK88" s="5">
        <v>3.88</v>
      </c>
      <c r="CL88" s="5">
        <v>8.7899999999999991</v>
      </c>
      <c r="CM88" s="5">
        <v>3.57</v>
      </c>
      <c r="CN88" s="5">
        <v>0.87</v>
      </c>
      <c r="CO88" s="5">
        <v>0.2</v>
      </c>
      <c r="CP88" s="5"/>
      <c r="CQ88" s="5"/>
      <c r="CR88" s="5"/>
      <c r="CS88" s="5"/>
      <c r="CT88" s="5"/>
      <c r="CU88" s="20"/>
      <c r="CV88" s="5">
        <v>2.58</v>
      </c>
      <c r="CW88" s="5">
        <v>0.06</v>
      </c>
      <c r="CX88" s="5">
        <v>0.88</v>
      </c>
      <c r="CY88" s="5">
        <v>0.51</v>
      </c>
      <c r="CZ88" s="5">
        <v>0.01</v>
      </c>
      <c r="DA88" s="5">
        <v>0.19</v>
      </c>
      <c r="DB88" s="5">
        <v>0.44</v>
      </c>
      <c r="DC88" s="5">
        <v>0.18</v>
      </c>
      <c r="DD88" s="5">
        <v>0.04</v>
      </c>
      <c r="DE88" s="5">
        <v>0.01</v>
      </c>
      <c r="DF88" s="5"/>
      <c r="DG88" s="5"/>
      <c r="DH88" s="5"/>
      <c r="DI88" s="5"/>
      <c r="DJ88" s="5"/>
      <c r="DK88" s="20"/>
      <c r="DL88" s="5"/>
      <c r="DM88" s="5"/>
      <c r="DN88" s="5"/>
      <c r="DO88" s="5"/>
      <c r="DP88" s="5"/>
      <c r="DQ88" s="20">
        <v>73.7</v>
      </c>
      <c r="DR88" s="5"/>
      <c r="DS88" s="5"/>
      <c r="DT88" s="5"/>
      <c r="DU88" s="5"/>
      <c r="DV88" s="5"/>
      <c r="DW88" s="20">
        <v>2</v>
      </c>
      <c r="DX88" s="5"/>
      <c r="DY88" s="5"/>
      <c r="DZ88" s="5"/>
      <c r="EA88" s="5"/>
      <c r="EB88" s="5"/>
      <c r="EC88" s="5"/>
      <c r="ED88" s="5"/>
      <c r="EE88" s="5"/>
      <c r="EF88" s="5"/>
      <c r="EG88" s="20"/>
      <c r="EH88" s="5"/>
      <c r="EI88" s="5"/>
      <c r="EJ88" s="5"/>
      <c r="EK88" s="5"/>
      <c r="EL88" s="4"/>
      <c r="EM88" s="21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4"/>
    </row>
    <row r="89" spans="1:181" ht="15" x14ac:dyDescent="0.2">
      <c r="A89" s="4" t="s">
        <v>435</v>
      </c>
      <c r="B89" s="4" t="s">
        <v>1</v>
      </c>
      <c r="C89" s="4" t="s">
        <v>418</v>
      </c>
      <c r="D89" s="4" t="s">
        <v>3</v>
      </c>
      <c r="E89" s="5" t="s">
        <v>3</v>
      </c>
      <c r="F89" s="5" t="s">
        <v>394</v>
      </c>
      <c r="G89" s="5">
        <v>0.2</v>
      </c>
      <c r="H89" s="5">
        <v>0.01</v>
      </c>
      <c r="I89" s="5"/>
      <c r="J89" s="20"/>
      <c r="K89" s="5">
        <v>52.19</v>
      </c>
      <c r="L89" s="5">
        <v>1.23</v>
      </c>
      <c r="M89" s="5">
        <v>16.739999999999998</v>
      </c>
      <c r="N89" s="5">
        <v>2.12</v>
      </c>
      <c r="O89" s="5">
        <v>7.45</v>
      </c>
      <c r="P89" s="5">
        <v>0.15</v>
      </c>
      <c r="Q89" s="5">
        <v>3.8</v>
      </c>
      <c r="R89" s="5">
        <v>8.01</v>
      </c>
      <c r="S89" s="5">
        <v>2.97</v>
      </c>
      <c r="T89" s="5">
        <v>0.81</v>
      </c>
      <c r="U89" s="5">
        <v>0.22</v>
      </c>
      <c r="V89" s="5"/>
      <c r="W89" s="5"/>
      <c r="X89" s="5">
        <v>4.03</v>
      </c>
      <c r="Y89" s="5"/>
      <c r="Z89" s="20">
        <v>99.7</v>
      </c>
      <c r="AA89" s="5">
        <v>1036</v>
      </c>
      <c r="AB89" s="5">
        <v>1026</v>
      </c>
      <c r="AC89" s="5">
        <v>821</v>
      </c>
      <c r="AD89" s="5"/>
      <c r="AE89" s="5">
        <v>-0.8</v>
      </c>
      <c r="AF89" s="5">
        <v>0.32</v>
      </c>
      <c r="AG89" s="5">
        <v>162</v>
      </c>
      <c r="AH89" s="20">
        <v>6.5</v>
      </c>
      <c r="AI89" s="5">
        <v>2.34</v>
      </c>
      <c r="AJ89" s="5">
        <v>0.06</v>
      </c>
      <c r="AK89" s="5">
        <v>0.75</v>
      </c>
      <c r="AL89" s="5">
        <v>0.12</v>
      </c>
      <c r="AM89" s="5">
        <v>0.54</v>
      </c>
      <c r="AN89" s="5">
        <v>0.01</v>
      </c>
      <c r="AO89" s="5">
        <v>0.55000000000000004</v>
      </c>
      <c r="AP89" s="5">
        <v>0.38</v>
      </c>
      <c r="AQ89" s="5">
        <v>0.16</v>
      </c>
      <c r="AR89" s="5">
        <v>0.04</v>
      </c>
      <c r="AS89" s="5">
        <v>0.01</v>
      </c>
      <c r="AT89" s="5"/>
      <c r="AU89" s="5"/>
      <c r="AV89" s="5">
        <v>0.1</v>
      </c>
      <c r="AW89" s="5"/>
      <c r="AX89" s="5">
        <v>6</v>
      </c>
      <c r="AY89" s="5">
        <v>19</v>
      </c>
      <c r="AZ89" s="5">
        <v>186</v>
      </c>
      <c r="BA89" s="5">
        <v>0</v>
      </c>
      <c r="BB89" s="5">
        <v>1.72</v>
      </c>
      <c r="BC89" s="5">
        <v>0</v>
      </c>
      <c r="BD89" s="5">
        <v>1</v>
      </c>
      <c r="BE89" s="20">
        <v>0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20"/>
      <c r="CC89" s="5">
        <v>4.5</v>
      </c>
      <c r="CD89" s="5"/>
      <c r="CE89" s="20"/>
      <c r="CF89" s="5">
        <v>52.08</v>
      </c>
      <c r="CG89" s="5">
        <v>1.22</v>
      </c>
      <c r="CH89" s="5">
        <v>16.61</v>
      </c>
      <c r="CI89" s="5">
        <v>9.4700000000000006</v>
      </c>
      <c r="CJ89" s="5">
        <v>0.15</v>
      </c>
      <c r="CK89" s="5">
        <v>4.07</v>
      </c>
      <c r="CL89" s="5">
        <v>7.95</v>
      </c>
      <c r="CM89" s="5">
        <v>2.95</v>
      </c>
      <c r="CN89" s="5">
        <v>0.81</v>
      </c>
      <c r="CO89" s="5">
        <v>0.22</v>
      </c>
      <c r="CP89" s="5"/>
      <c r="CQ89" s="5"/>
      <c r="CR89" s="5"/>
      <c r="CS89" s="5"/>
      <c r="CT89" s="5"/>
      <c r="CU89" s="20"/>
      <c r="CV89" s="5">
        <v>2.6</v>
      </c>
      <c r="CW89" s="5">
        <v>0.06</v>
      </c>
      <c r="CX89" s="5">
        <v>0.83</v>
      </c>
      <c r="CY89" s="5">
        <v>0.47</v>
      </c>
      <c r="CZ89" s="5">
        <v>0.01</v>
      </c>
      <c r="DA89" s="5">
        <v>0.2</v>
      </c>
      <c r="DB89" s="5">
        <v>0.4</v>
      </c>
      <c r="DC89" s="5">
        <v>0.15</v>
      </c>
      <c r="DD89" s="5">
        <v>0.04</v>
      </c>
      <c r="DE89" s="5">
        <v>0.01</v>
      </c>
      <c r="DF89" s="5"/>
      <c r="DG89" s="5"/>
      <c r="DH89" s="5"/>
      <c r="DI89" s="5"/>
      <c r="DJ89" s="5"/>
      <c r="DK89" s="20"/>
      <c r="DL89" s="5"/>
      <c r="DM89" s="5"/>
      <c r="DN89" s="5"/>
      <c r="DO89" s="5"/>
      <c r="DP89" s="5"/>
      <c r="DQ89" s="20">
        <v>73.7</v>
      </c>
      <c r="DR89" s="5"/>
      <c r="DS89" s="5"/>
      <c r="DT89" s="5"/>
      <c r="DU89" s="5"/>
      <c r="DV89" s="5"/>
      <c r="DW89" s="20">
        <v>2</v>
      </c>
      <c r="DX89" s="5"/>
      <c r="DY89" s="5"/>
      <c r="DZ89" s="5"/>
      <c r="EA89" s="5"/>
      <c r="EB89" s="5"/>
      <c r="EC89" s="5"/>
      <c r="ED89" s="5"/>
      <c r="EE89" s="5"/>
      <c r="EF89" s="5"/>
      <c r="EG89" s="20"/>
      <c r="EH89" s="5"/>
      <c r="EI89" s="5"/>
      <c r="EJ89" s="5"/>
      <c r="EK89" s="5"/>
      <c r="EL89" s="4"/>
      <c r="EM89" s="21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4"/>
    </row>
    <row r="90" spans="1:181" ht="15" x14ac:dyDescent="0.2">
      <c r="A90" s="4" t="s">
        <v>436</v>
      </c>
      <c r="B90" s="4" t="s">
        <v>1</v>
      </c>
      <c r="C90" s="4" t="s">
        <v>418</v>
      </c>
      <c r="D90" s="4" t="s">
        <v>3</v>
      </c>
      <c r="E90" s="5" t="s">
        <v>3</v>
      </c>
      <c r="F90" s="5" t="s">
        <v>399</v>
      </c>
      <c r="G90" s="5">
        <v>0.2</v>
      </c>
      <c r="H90" s="5">
        <v>0.01</v>
      </c>
      <c r="I90" s="5"/>
      <c r="J90" s="20"/>
      <c r="K90" s="5">
        <v>49.67</v>
      </c>
      <c r="L90" s="5">
        <v>0.75</v>
      </c>
      <c r="M90" s="5">
        <v>17.47</v>
      </c>
      <c r="N90" s="5">
        <v>2.11</v>
      </c>
      <c r="O90" s="5">
        <v>8.65</v>
      </c>
      <c r="P90" s="5">
        <v>0.18</v>
      </c>
      <c r="Q90" s="5">
        <v>4.6100000000000003</v>
      </c>
      <c r="R90" s="5">
        <v>9.33</v>
      </c>
      <c r="S90" s="5">
        <v>1.9</v>
      </c>
      <c r="T90" s="5">
        <v>0.46</v>
      </c>
      <c r="U90" s="5">
        <v>0.15</v>
      </c>
      <c r="V90" s="5"/>
      <c r="W90" s="5"/>
      <c r="X90" s="5">
        <v>3.83</v>
      </c>
      <c r="Y90" s="5"/>
      <c r="Z90" s="20">
        <v>99.1</v>
      </c>
      <c r="AA90" s="5">
        <v>1002</v>
      </c>
      <c r="AB90" s="5">
        <v>1051</v>
      </c>
      <c r="AC90" s="5">
        <v>765</v>
      </c>
      <c r="AD90" s="5"/>
      <c r="AE90" s="5">
        <v>4.3</v>
      </c>
      <c r="AF90" s="5">
        <v>0.34</v>
      </c>
      <c r="AG90" s="5">
        <v>166</v>
      </c>
      <c r="AH90" s="20">
        <v>6.6</v>
      </c>
      <c r="AI90" s="5">
        <v>2.35</v>
      </c>
      <c r="AJ90" s="5">
        <v>0.05</v>
      </c>
      <c r="AK90" s="5">
        <v>0.84</v>
      </c>
      <c r="AL90" s="5">
        <v>0.12</v>
      </c>
      <c r="AM90" s="5">
        <v>0.7</v>
      </c>
      <c r="AN90" s="5">
        <v>0.01</v>
      </c>
      <c r="AO90" s="5">
        <v>0.71</v>
      </c>
      <c r="AP90" s="5">
        <v>0.52</v>
      </c>
      <c r="AQ90" s="5">
        <v>0.1</v>
      </c>
      <c r="AR90" s="5">
        <v>0.02</v>
      </c>
      <c r="AS90" s="5">
        <v>0.01</v>
      </c>
      <c r="AT90" s="5"/>
      <c r="AU90" s="5"/>
      <c r="AV90" s="5">
        <v>0.1</v>
      </c>
      <c r="AW90" s="5"/>
      <c r="AX90" s="5">
        <v>7</v>
      </c>
      <c r="AY90" s="5">
        <v>24</v>
      </c>
      <c r="AZ90" s="5">
        <v>182</v>
      </c>
      <c r="BA90" s="5">
        <v>0</v>
      </c>
      <c r="BB90" s="5">
        <v>2.5099999999999998</v>
      </c>
      <c r="BC90" s="5">
        <v>0.01</v>
      </c>
      <c r="BD90" s="5">
        <v>3</v>
      </c>
      <c r="BE90" s="20">
        <v>0.1</v>
      </c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20"/>
      <c r="CC90" s="5">
        <v>3.7</v>
      </c>
      <c r="CD90" s="5"/>
      <c r="CE90" s="20"/>
      <c r="CF90" s="5">
        <v>50.19</v>
      </c>
      <c r="CG90" s="5">
        <v>0.78</v>
      </c>
      <c r="CH90" s="5">
        <v>18.22</v>
      </c>
      <c r="CI90" s="5">
        <v>9.8800000000000008</v>
      </c>
      <c r="CJ90" s="5">
        <v>0.18</v>
      </c>
      <c r="CK90" s="5">
        <v>3.27</v>
      </c>
      <c r="CL90" s="5">
        <v>9.74</v>
      </c>
      <c r="CM90" s="5">
        <v>1.98</v>
      </c>
      <c r="CN90" s="5">
        <v>0.48</v>
      </c>
      <c r="CO90" s="5">
        <v>0.16</v>
      </c>
      <c r="CP90" s="5"/>
      <c r="CQ90" s="5"/>
      <c r="CR90" s="5"/>
      <c r="CS90" s="5"/>
      <c r="CT90" s="5"/>
      <c r="CU90" s="20"/>
      <c r="CV90" s="5">
        <v>2.5099999999999998</v>
      </c>
      <c r="CW90" s="5">
        <v>0.04</v>
      </c>
      <c r="CX90" s="5">
        <v>0.91</v>
      </c>
      <c r="CY90" s="5">
        <v>0.49</v>
      </c>
      <c r="CZ90" s="5">
        <v>0.01</v>
      </c>
      <c r="DA90" s="5">
        <v>0.16</v>
      </c>
      <c r="DB90" s="5">
        <v>0.49</v>
      </c>
      <c r="DC90" s="5">
        <v>0.1</v>
      </c>
      <c r="DD90" s="5">
        <v>0.02</v>
      </c>
      <c r="DE90" s="5">
        <v>0.01</v>
      </c>
      <c r="DF90" s="5"/>
      <c r="DG90" s="5"/>
      <c r="DH90" s="5"/>
      <c r="DI90" s="5"/>
      <c r="DJ90" s="5"/>
      <c r="DK90" s="20"/>
      <c r="DL90" s="5"/>
      <c r="DM90" s="5"/>
      <c r="DN90" s="5"/>
      <c r="DO90" s="5"/>
      <c r="DP90" s="5"/>
      <c r="DQ90" s="20">
        <v>73.599999999999994</v>
      </c>
      <c r="DR90" s="5"/>
      <c r="DS90" s="5"/>
      <c r="DT90" s="5"/>
      <c r="DU90" s="5"/>
      <c r="DV90" s="5"/>
      <c r="DW90" s="20">
        <v>2</v>
      </c>
      <c r="DX90" s="5"/>
      <c r="DY90" s="5"/>
      <c r="DZ90" s="5"/>
      <c r="EA90" s="5"/>
      <c r="EB90" s="5"/>
      <c r="EC90" s="5"/>
      <c r="ED90" s="5"/>
      <c r="EE90" s="5"/>
      <c r="EF90" s="5"/>
      <c r="EG90" s="20"/>
      <c r="EH90" s="5"/>
      <c r="EI90" s="5"/>
      <c r="EJ90" s="5"/>
      <c r="EK90" s="5"/>
      <c r="EL90" s="4"/>
      <c r="EM90" s="21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4"/>
    </row>
    <row r="91" spans="1:181" ht="15" x14ac:dyDescent="0.2">
      <c r="A91" s="4" t="s">
        <v>437</v>
      </c>
      <c r="B91" s="4" t="s">
        <v>1</v>
      </c>
      <c r="C91" s="4" t="s">
        <v>418</v>
      </c>
      <c r="D91" s="4" t="s">
        <v>3</v>
      </c>
      <c r="E91" s="5" t="s">
        <v>3</v>
      </c>
      <c r="F91" s="5" t="s">
        <v>399</v>
      </c>
      <c r="G91" s="5">
        <v>0.2</v>
      </c>
      <c r="H91" s="5">
        <v>0.01</v>
      </c>
      <c r="I91" s="5"/>
      <c r="J91" s="20"/>
      <c r="K91" s="5">
        <v>49.62</v>
      </c>
      <c r="L91" s="5">
        <v>0.84</v>
      </c>
      <c r="M91" s="5">
        <v>18.22</v>
      </c>
      <c r="N91" s="5">
        <v>2.17</v>
      </c>
      <c r="O91" s="5">
        <v>7.71</v>
      </c>
      <c r="P91" s="5">
        <v>0.16</v>
      </c>
      <c r="Q91" s="5">
        <v>4.4000000000000004</v>
      </c>
      <c r="R91" s="5">
        <v>7.26</v>
      </c>
      <c r="S91" s="5">
        <v>2.48</v>
      </c>
      <c r="T91" s="5">
        <v>1.04</v>
      </c>
      <c r="U91" s="5">
        <v>0.16</v>
      </c>
      <c r="V91" s="5"/>
      <c r="W91" s="5"/>
      <c r="X91" s="5">
        <v>4.0199999999999996</v>
      </c>
      <c r="Y91" s="5"/>
      <c r="Z91" s="20">
        <v>98.1</v>
      </c>
      <c r="AA91" s="5">
        <v>1052</v>
      </c>
      <c r="AB91" s="5">
        <v>1048</v>
      </c>
      <c r="AC91" s="5">
        <v>825</v>
      </c>
      <c r="AD91" s="5"/>
      <c r="AE91" s="5">
        <v>-0.4</v>
      </c>
      <c r="AF91" s="5">
        <v>0.33</v>
      </c>
      <c r="AG91" s="5">
        <v>160</v>
      </c>
      <c r="AH91" s="20">
        <v>6.4</v>
      </c>
      <c r="AI91" s="5">
        <v>2.65</v>
      </c>
      <c r="AJ91" s="5">
        <v>0.04</v>
      </c>
      <c r="AK91" s="5">
        <v>0.98</v>
      </c>
      <c r="AL91" s="5">
        <v>0.16</v>
      </c>
      <c r="AM91" s="5">
        <v>0.55000000000000004</v>
      </c>
      <c r="AN91" s="5">
        <v>0.01</v>
      </c>
      <c r="AO91" s="5">
        <v>0.64</v>
      </c>
      <c r="AP91" s="5">
        <v>0.49</v>
      </c>
      <c r="AQ91" s="5">
        <v>0.13</v>
      </c>
      <c r="AR91" s="5">
        <v>0.06</v>
      </c>
      <c r="AS91" s="5">
        <v>0.01</v>
      </c>
      <c r="AT91" s="5"/>
      <c r="AU91" s="5"/>
      <c r="AV91" s="5">
        <v>0.1</v>
      </c>
      <c r="AW91" s="5"/>
      <c r="AX91" s="5">
        <v>7</v>
      </c>
      <c r="AY91" s="5">
        <v>21</v>
      </c>
      <c r="AZ91" s="5">
        <v>219</v>
      </c>
      <c r="BA91" s="5">
        <v>0</v>
      </c>
      <c r="BB91" s="5">
        <v>2.35</v>
      </c>
      <c r="BC91" s="5">
        <v>0</v>
      </c>
      <c r="BD91" s="5">
        <v>4</v>
      </c>
      <c r="BE91" s="20">
        <v>0.2</v>
      </c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20"/>
      <c r="CC91" s="5">
        <v>4.0999999999999996</v>
      </c>
      <c r="CD91" s="5"/>
      <c r="CE91" s="20"/>
      <c r="CF91" s="5">
        <v>49.58</v>
      </c>
      <c r="CG91" s="5">
        <v>0.83</v>
      </c>
      <c r="CH91" s="5">
        <v>18.149999999999999</v>
      </c>
      <c r="CI91" s="5">
        <v>9.7100000000000009</v>
      </c>
      <c r="CJ91" s="5">
        <v>0.16</v>
      </c>
      <c r="CK91" s="5">
        <v>4.53</v>
      </c>
      <c r="CL91" s="5">
        <v>7.24</v>
      </c>
      <c r="CM91" s="5">
        <v>2.4700000000000002</v>
      </c>
      <c r="CN91" s="5">
        <v>1.04</v>
      </c>
      <c r="CO91" s="5">
        <v>0.16</v>
      </c>
      <c r="CP91" s="5"/>
      <c r="CQ91" s="5"/>
      <c r="CR91" s="5"/>
      <c r="CS91" s="5"/>
      <c r="CT91" s="5"/>
      <c r="CU91" s="20"/>
      <c r="CV91" s="5">
        <v>2.48</v>
      </c>
      <c r="CW91" s="5">
        <v>0.04</v>
      </c>
      <c r="CX91" s="5">
        <v>0.91</v>
      </c>
      <c r="CY91" s="5">
        <v>0.49</v>
      </c>
      <c r="CZ91" s="5">
        <v>0.01</v>
      </c>
      <c r="DA91" s="5">
        <v>0.23</v>
      </c>
      <c r="DB91" s="5">
        <v>0.36</v>
      </c>
      <c r="DC91" s="5">
        <v>0.12</v>
      </c>
      <c r="DD91" s="5">
        <v>0.05</v>
      </c>
      <c r="DE91" s="5">
        <v>0.01</v>
      </c>
      <c r="DF91" s="5"/>
      <c r="DG91" s="5"/>
      <c r="DH91" s="5"/>
      <c r="DI91" s="5"/>
      <c r="DJ91" s="5"/>
      <c r="DK91" s="20"/>
      <c r="DL91" s="5"/>
      <c r="DM91" s="5"/>
      <c r="DN91" s="5"/>
      <c r="DO91" s="5"/>
      <c r="DP91" s="5"/>
      <c r="DQ91" s="20">
        <v>75.8</v>
      </c>
      <c r="DR91" s="5"/>
      <c r="DS91" s="5"/>
      <c r="DT91" s="5"/>
      <c r="DU91" s="5"/>
      <c r="DV91" s="5"/>
      <c r="DW91" s="20">
        <v>2</v>
      </c>
      <c r="DX91" s="5"/>
      <c r="DY91" s="5"/>
      <c r="DZ91" s="5"/>
      <c r="EA91" s="5"/>
      <c r="EB91" s="5"/>
      <c r="EC91" s="5"/>
      <c r="ED91" s="5"/>
      <c r="EE91" s="5"/>
      <c r="EF91" s="5"/>
      <c r="EG91" s="20"/>
      <c r="EH91" s="5"/>
      <c r="EI91" s="5"/>
      <c r="EJ91" s="5"/>
      <c r="EK91" s="5"/>
      <c r="EL91" s="4"/>
      <c r="EM91" s="21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4"/>
    </row>
    <row r="92" spans="1:181" ht="15" x14ac:dyDescent="0.2">
      <c r="A92" s="4" t="s">
        <v>438</v>
      </c>
      <c r="B92" s="4" t="s">
        <v>1</v>
      </c>
      <c r="C92" s="4" t="s">
        <v>418</v>
      </c>
      <c r="D92" s="4" t="s">
        <v>3</v>
      </c>
      <c r="E92" s="5" t="s">
        <v>3</v>
      </c>
      <c r="F92" s="5" t="s">
        <v>383</v>
      </c>
      <c r="G92" s="5">
        <v>0.2</v>
      </c>
      <c r="H92" s="5">
        <v>0.01</v>
      </c>
      <c r="I92" s="5"/>
      <c r="J92" s="20"/>
      <c r="K92" s="5">
        <v>50.72</v>
      </c>
      <c r="L92" s="5">
        <v>0.91</v>
      </c>
      <c r="M92" s="5">
        <v>16.57</v>
      </c>
      <c r="N92" s="5">
        <v>2.2000000000000002</v>
      </c>
      <c r="O92" s="5">
        <v>7.75</v>
      </c>
      <c r="P92" s="5">
        <v>0.2</v>
      </c>
      <c r="Q92" s="5">
        <v>4.0599999999999996</v>
      </c>
      <c r="R92" s="5">
        <v>7.49</v>
      </c>
      <c r="S92" s="5">
        <v>1.68</v>
      </c>
      <c r="T92" s="5">
        <v>0.77</v>
      </c>
      <c r="U92" s="5">
        <v>0.18</v>
      </c>
      <c r="V92" s="5"/>
      <c r="W92" s="5"/>
      <c r="X92" s="5">
        <v>4.03</v>
      </c>
      <c r="Y92" s="5"/>
      <c r="Z92" s="20">
        <v>96.6</v>
      </c>
      <c r="AA92" s="5">
        <v>1046</v>
      </c>
      <c r="AB92" s="5">
        <v>1038</v>
      </c>
      <c r="AC92" s="5">
        <v>836</v>
      </c>
      <c r="AD92" s="5"/>
      <c r="AE92" s="5">
        <v>-0.7</v>
      </c>
      <c r="AF92" s="5">
        <v>0.35</v>
      </c>
      <c r="AG92" s="5">
        <v>161</v>
      </c>
      <c r="AH92" s="20">
        <v>6.4</v>
      </c>
      <c r="AI92" s="5">
        <v>2.31</v>
      </c>
      <c r="AJ92" s="5">
        <v>0.05</v>
      </c>
      <c r="AK92" s="5">
        <v>1</v>
      </c>
      <c r="AL92" s="5">
        <v>0.14000000000000001</v>
      </c>
      <c r="AM92" s="5">
        <v>0.67</v>
      </c>
      <c r="AN92" s="5">
        <v>0.01</v>
      </c>
      <c r="AO92" s="5">
        <v>0.74</v>
      </c>
      <c r="AP92" s="5">
        <v>0.41</v>
      </c>
      <c r="AQ92" s="5">
        <v>0.1</v>
      </c>
      <c r="AR92" s="5">
        <v>0.04</v>
      </c>
      <c r="AS92" s="5">
        <v>0.01</v>
      </c>
      <c r="AT92" s="5"/>
      <c r="AU92" s="5"/>
      <c r="AV92" s="5">
        <v>0.1</v>
      </c>
      <c r="AW92" s="5"/>
      <c r="AX92" s="5">
        <v>7</v>
      </c>
      <c r="AY92" s="5">
        <v>27</v>
      </c>
      <c r="AZ92" s="5">
        <v>242</v>
      </c>
      <c r="BA92" s="5">
        <v>0</v>
      </c>
      <c r="BB92" s="5">
        <v>2.3199999999999998</v>
      </c>
      <c r="BC92" s="5">
        <v>0.01</v>
      </c>
      <c r="BD92" s="5">
        <v>1</v>
      </c>
      <c r="BE92" s="20">
        <v>0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20"/>
      <c r="CC92" s="5">
        <v>4.7</v>
      </c>
      <c r="CD92" s="5"/>
      <c r="CE92" s="20"/>
      <c r="CF92" s="5">
        <v>50.62</v>
      </c>
      <c r="CG92" s="5">
        <v>0.91</v>
      </c>
      <c r="CH92" s="5">
        <v>16.45</v>
      </c>
      <c r="CI92" s="5">
        <v>9.82</v>
      </c>
      <c r="CJ92" s="5">
        <v>0.2</v>
      </c>
      <c r="CK92" s="5">
        <v>4.28</v>
      </c>
      <c r="CL92" s="5">
        <v>7.43</v>
      </c>
      <c r="CM92" s="5">
        <v>1.67</v>
      </c>
      <c r="CN92" s="5">
        <v>0.76</v>
      </c>
      <c r="CO92" s="5">
        <v>0.18</v>
      </c>
      <c r="CP92" s="5"/>
      <c r="CQ92" s="5"/>
      <c r="CR92" s="5"/>
      <c r="CS92" s="5"/>
      <c r="CT92" s="5"/>
      <c r="CU92" s="20"/>
      <c r="CV92" s="5">
        <v>2.5299999999999998</v>
      </c>
      <c r="CW92" s="5">
        <v>0.05</v>
      </c>
      <c r="CX92" s="5">
        <v>0.82</v>
      </c>
      <c r="CY92" s="5">
        <v>0.49</v>
      </c>
      <c r="CZ92" s="5">
        <v>0.01</v>
      </c>
      <c r="DA92" s="5">
        <v>0.21</v>
      </c>
      <c r="DB92" s="5">
        <v>0.37</v>
      </c>
      <c r="DC92" s="5">
        <v>0.08</v>
      </c>
      <c r="DD92" s="5">
        <v>0.04</v>
      </c>
      <c r="DE92" s="5">
        <v>0.01</v>
      </c>
      <c r="DF92" s="5"/>
      <c r="DG92" s="5"/>
      <c r="DH92" s="5"/>
      <c r="DI92" s="5"/>
      <c r="DJ92" s="5"/>
      <c r="DK92" s="20"/>
      <c r="DL92" s="5"/>
      <c r="DM92" s="5"/>
      <c r="DN92" s="5"/>
      <c r="DO92" s="5"/>
      <c r="DP92" s="5"/>
      <c r="DQ92" s="20">
        <v>72.8</v>
      </c>
      <c r="DR92" s="5"/>
      <c r="DS92" s="5"/>
      <c r="DT92" s="5"/>
      <c r="DU92" s="5"/>
      <c r="DV92" s="5"/>
      <c r="DW92" s="20">
        <v>2</v>
      </c>
      <c r="DX92" s="5"/>
      <c r="DY92" s="5"/>
      <c r="DZ92" s="5"/>
      <c r="EA92" s="5"/>
      <c r="EB92" s="5"/>
      <c r="EC92" s="5"/>
      <c r="ED92" s="5"/>
      <c r="EE92" s="5"/>
      <c r="EF92" s="5"/>
      <c r="EG92" s="20"/>
      <c r="EH92" s="5"/>
      <c r="EI92" s="5"/>
      <c r="EJ92" s="5"/>
      <c r="EK92" s="5"/>
      <c r="EL92" s="4"/>
      <c r="EM92" s="21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4"/>
    </row>
  </sheetData>
  <mergeCells count="14">
    <mergeCell ref="A30:C30"/>
    <mergeCell ref="EH4:EJ4"/>
    <mergeCell ref="A1:D1"/>
    <mergeCell ref="A2:D2"/>
    <mergeCell ref="A3:B3"/>
    <mergeCell ref="K4:Z4"/>
    <mergeCell ref="AA4:AH4"/>
    <mergeCell ref="AI4:BE4"/>
    <mergeCell ref="BF4:BH4"/>
    <mergeCell ref="CF4:CK4"/>
    <mergeCell ref="CV4:CX4"/>
    <mergeCell ref="DL4:DQ4"/>
    <mergeCell ref="DR4:DW4"/>
    <mergeCell ref="DX4:DZ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G144"/>
  <sheetViews>
    <sheetView zoomScale="88" zoomScaleNormal="62" workbookViewId="0">
      <pane ySplit="1" topLeftCell="A7" activePane="bottomLeft" state="frozen"/>
      <selection pane="bottomLeft" activeCell="H48" sqref="H48"/>
    </sheetView>
  </sheetViews>
  <sheetFormatPr baseColWidth="10" defaultColWidth="12.6640625" defaultRowHeight="15.75" customHeight="1" x14ac:dyDescent="0.15"/>
  <cols>
    <col min="34" max="16384" width="12.6640625" style="51"/>
  </cols>
  <sheetData>
    <row r="1" spans="1:33" ht="16" x14ac:dyDescent="0.2">
      <c r="A1" s="66" t="s">
        <v>439</v>
      </c>
      <c r="B1" s="67" t="s">
        <v>440</v>
      </c>
      <c r="C1" s="67" t="s">
        <v>441</v>
      </c>
      <c r="D1" s="67" t="s">
        <v>442</v>
      </c>
      <c r="E1" s="66" t="s">
        <v>443</v>
      </c>
      <c r="F1" s="67" t="s">
        <v>444</v>
      </c>
      <c r="G1" s="67" t="s">
        <v>445</v>
      </c>
      <c r="H1" s="67" t="s">
        <v>446</v>
      </c>
      <c r="I1" s="67" t="s">
        <v>447</v>
      </c>
      <c r="J1" s="67" t="s">
        <v>448</v>
      </c>
      <c r="K1" s="67" t="s">
        <v>449</v>
      </c>
      <c r="L1" s="67" t="s">
        <v>450</v>
      </c>
      <c r="M1" s="67" t="s">
        <v>451</v>
      </c>
      <c r="N1" s="67" t="s">
        <v>452</v>
      </c>
      <c r="O1" s="67" t="s">
        <v>453</v>
      </c>
      <c r="P1" s="67" t="s">
        <v>454</v>
      </c>
      <c r="Q1" s="67" t="s">
        <v>455</v>
      </c>
      <c r="R1" s="67" t="s">
        <v>456</v>
      </c>
      <c r="S1" s="68" t="s">
        <v>457</v>
      </c>
      <c r="T1" s="67" t="s">
        <v>458</v>
      </c>
      <c r="U1" s="67" t="s">
        <v>459</v>
      </c>
      <c r="V1" s="67" t="s">
        <v>265</v>
      </c>
      <c r="W1" s="67" t="s">
        <v>460</v>
      </c>
      <c r="X1" s="67" t="s">
        <v>266</v>
      </c>
      <c r="Y1" s="67" t="s">
        <v>461</v>
      </c>
      <c r="Z1" s="67" t="s">
        <v>462</v>
      </c>
      <c r="AA1" s="67" t="s">
        <v>463</v>
      </c>
      <c r="AB1" s="67" t="s">
        <v>464</v>
      </c>
      <c r="AC1" s="67" t="s">
        <v>465</v>
      </c>
      <c r="AD1" s="67" t="s">
        <v>466</v>
      </c>
      <c r="AE1" s="67" t="s">
        <v>467</v>
      </c>
      <c r="AF1" s="67" t="s">
        <v>468</v>
      </c>
      <c r="AG1" s="66" t="s">
        <v>469</v>
      </c>
    </row>
    <row r="2" spans="1:33" ht="16" x14ac:dyDescent="0.2">
      <c r="A2" s="69" t="s">
        <v>470</v>
      </c>
      <c r="B2" s="70">
        <v>4.0999999999999996</v>
      </c>
      <c r="C2" s="70">
        <v>401.1</v>
      </c>
      <c r="D2" s="71" t="s">
        <v>471</v>
      </c>
      <c r="E2" s="72">
        <v>-6.5</v>
      </c>
      <c r="F2" s="70">
        <v>44.93</v>
      </c>
      <c r="G2" s="70">
        <v>3.78</v>
      </c>
      <c r="H2" s="70">
        <v>14.25</v>
      </c>
      <c r="I2" s="70">
        <v>4.4800000000000004</v>
      </c>
      <c r="J2" s="70">
        <v>8.8000000000000007</v>
      </c>
      <c r="K2" s="70">
        <v>12.9</v>
      </c>
      <c r="L2" s="70">
        <v>0.31</v>
      </c>
      <c r="M2" s="70">
        <v>5.88</v>
      </c>
      <c r="N2" s="70">
        <v>7.93</v>
      </c>
      <c r="O2" s="70">
        <v>4.24</v>
      </c>
      <c r="P2" s="70">
        <v>2.58</v>
      </c>
      <c r="Q2" s="70">
        <v>1.23</v>
      </c>
      <c r="R2" s="73">
        <v>1.637</v>
      </c>
      <c r="S2" s="74">
        <v>2280.42</v>
      </c>
      <c r="T2" s="70">
        <v>1733.38</v>
      </c>
      <c r="U2" s="73">
        <v>0.17299999999999999</v>
      </c>
      <c r="V2" s="70">
        <v>5367.29</v>
      </c>
      <c r="W2" s="73">
        <v>0.53700000000000003</v>
      </c>
      <c r="X2" s="70">
        <v>1006.2</v>
      </c>
      <c r="Y2" s="73">
        <v>0.10100000000000001</v>
      </c>
      <c r="Z2" s="73">
        <v>113.581</v>
      </c>
      <c r="AA2" s="73">
        <v>4.5999999999999999E-2</v>
      </c>
      <c r="AB2" s="70">
        <v>31.92</v>
      </c>
      <c r="AC2" s="73">
        <v>114.461</v>
      </c>
      <c r="AD2" s="73">
        <v>72.540000000000006</v>
      </c>
      <c r="AE2" s="70">
        <v>98.5</v>
      </c>
      <c r="AF2" s="70">
        <v>101.1</v>
      </c>
      <c r="AG2" s="72">
        <v>0.68</v>
      </c>
    </row>
    <row r="3" spans="1:33" ht="16" x14ac:dyDescent="0.2">
      <c r="A3" s="69" t="s">
        <v>470</v>
      </c>
      <c r="B3" s="70">
        <v>4.3</v>
      </c>
      <c r="C3" s="70">
        <v>403.1</v>
      </c>
      <c r="D3" s="71" t="s">
        <v>472</v>
      </c>
      <c r="E3" s="72">
        <v>3.23</v>
      </c>
      <c r="F3" s="70">
        <v>42.51</v>
      </c>
      <c r="G3" s="70">
        <v>3.18</v>
      </c>
      <c r="H3" s="70">
        <v>14.5</v>
      </c>
      <c r="I3" s="70">
        <v>4.6900000000000004</v>
      </c>
      <c r="J3" s="70">
        <v>8.6999999999999993</v>
      </c>
      <c r="K3" s="70">
        <v>12.9</v>
      </c>
      <c r="L3" s="70">
        <v>0.2</v>
      </c>
      <c r="M3" s="70">
        <v>6.43</v>
      </c>
      <c r="N3" s="70">
        <v>10.95</v>
      </c>
      <c r="O3" s="70">
        <v>3.58</v>
      </c>
      <c r="P3" s="70">
        <v>2.2599999999999998</v>
      </c>
      <c r="Q3" s="70">
        <v>0.88</v>
      </c>
      <c r="R3" s="73">
        <v>2.23</v>
      </c>
      <c r="S3" s="74">
        <v>7888.7</v>
      </c>
      <c r="T3" s="70">
        <v>2280.83</v>
      </c>
      <c r="U3" s="73">
        <v>0.22800000000000001</v>
      </c>
      <c r="V3" s="70">
        <v>4923.55</v>
      </c>
      <c r="W3" s="73">
        <v>0.49199999999999999</v>
      </c>
      <c r="X3" s="70">
        <v>849.6</v>
      </c>
      <c r="Y3" s="73">
        <v>8.5000000000000006E-2</v>
      </c>
      <c r="Z3" s="73">
        <v>169.60300000000001</v>
      </c>
      <c r="AA3" s="73">
        <v>0.09</v>
      </c>
      <c r="AB3" s="70">
        <v>78.95</v>
      </c>
      <c r="AC3" s="73">
        <v>163.09100000000001</v>
      </c>
      <c r="AD3" s="73">
        <v>73.959999999999994</v>
      </c>
      <c r="AE3" s="70">
        <v>97.8</v>
      </c>
      <c r="AF3" s="70">
        <v>101.2</v>
      </c>
      <c r="AG3" s="72">
        <v>0.68</v>
      </c>
    </row>
    <row r="4" spans="1:33" ht="16" x14ac:dyDescent="0.2">
      <c r="A4" s="69" t="s">
        <v>470</v>
      </c>
      <c r="B4" s="70">
        <v>4.4000000000000004</v>
      </c>
      <c r="C4" s="70">
        <v>404.2</v>
      </c>
      <c r="D4" s="71" t="s">
        <v>473</v>
      </c>
      <c r="E4" s="72">
        <v>-4.5199999999999996</v>
      </c>
      <c r="F4" s="70">
        <v>41.34</v>
      </c>
      <c r="G4" s="70">
        <v>4.1500000000000004</v>
      </c>
      <c r="H4" s="70">
        <v>13.92</v>
      </c>
      <c r="I4" s="70">
        <v>4.83</v>
      </c>
      <c r="J4" s="70">
        <v>8.5</v>
      </c>
      <c r="K4" s="70">
        <v>12.9</v>
      </c>
      <c r="L4" s="70">
        <v>0.27</v>
      </c>
      <c r="M4" s="70">
        <v>6.11</v>
      </c>
      <c r="N4" s="70">
        <v>12.21</v>
      </c>
      <c r="O4" s="70">
        <v>3.67</v>
      </c>
      <c r="P4" s="70">
        <v>1.76</v>
      </c>
      <c r="Q4" s="70">
        <v>0.92</v>
      </c>
      <c r="R4" s="73">
        <v>2.41</v>
      </c>
      <c r="S4" s="74">
        <v>4057.81</v>
      </c>
      <c r="T4" s="70">
        <v>2682.3</v>
      </c>
      <c r="U4" s="73">
        <v>0.26800000000000002</v>
      </c>
      <c r="V4" s="70">
        <v>6447.6</v>
      </c>
      <c r="W4" s="73">
        <v>0.64500000000000002</v>
      </c>
      <c r="X4" s="70">
        <v>767.36</v>
      </c>
      <c r="Y4" s="73">
        <v>7.6999999999999999E-2</v>
      </c>
      <c r="Z4" s="73">
        <v>175.95500000000001</v>
      </c>
      <c r="AA4" s="73">
        <v>7.1999999999999995E-2</v>
      </c>
      <c r="AB4" s="70">
        <v>68.08</v>
      </c>
      <c r="AC4" s="73">
        <v>184.93700000000001</v>
      </c>
      <c r="AD4" s="73">
        <v>64.308999999999997</v>
      </c>
      <c r="AE4" s="70">
        <v>97.7</v>
      </c>
      <c r="AF4" s="70">
        <v>101.4</v>
      </c>
      <c r="AG4" s="72">
        <v>0.84</v>
      </c>
    </row>
    <row r="5" spans="1:33" ht="16" x14ac:dyDescent="0.2">
      <c r="A5" s="69" t="s">
        <v>470</v>
      </c>
      <c r="B5" s="70">
        <v>4.5</v>
      </c>
      <c r="C5" s="70">
        <v>405.1</v>
      </c>
      <c r="D5" s="71" t="s">
        <v>474</v>
      </c>
      <c r="E5" s="72">
        <v>6.69</v>
      </c>
      <c r="F5" s="70">
        <v>44.72</v>
      </c>
      <c r="G5" s="70">
        <v>2.8</v>
      </c>
      <c r="H5" s="70">
        <v>14.75</v>
      </c>
      <c r="I5" s="70">
        <v>4.5599999999999996</v>
      </c>
      <c r="J5" s="70">
        <v>8.9</v>
      </c>
      <c r="K5" s="70">
        <v>13</v>
      </c>
      <c r="L5" s="70">
        <v>0.18</v>
      </c>
      <c r="M5" s="70">
        <v>6.2</v>
      </c>
      <c r="N5" s="70">
        <v>8.83</v>
      </c>
      <c r="O5" s="70">
        <v>4.16</v>
      </c>
      <c r="P5" s="70">
        <v>2.39</v>
      </c>
      <c r="Q5" s="70">
        <v>0.91</v>
      </c>
      <c r="R5" s="73">
        <v>1.7969999999999999</v>
      </c>
      <c r="S5" s="74">
        <v>7796.86</v>
      </c>
      <c r="T5" s="70">
        <v>1880.98</v>
      </c>
      <c r="U5" s="73">
        <v>0.188</v>
      </c>
      <c r="V5" s="70">
        <v>3465.79</v>
      </c>
      <c r="W5" s="73">
        <v>0.34699999999999998</v>
      </c>
      <c r="X5" s="70">
        <v>849.7</v>
      </c>
      <c r="Y5" s="73">
        <v>8.5000000000000006E-2</v>
      </c>
      <c r="Z5" s="73">
        <v>183.31</v>
      </c>
      <c r="AA5" s="73">
        <v>9.5000000000000001E-2</v>
      </c>
      <c r="AB5" s="70">
        <v>51.22</v>
      </c>
      <c r="AC5" s="73">
        <v>94.415000000000006</v>
      </c>
      <c r="AD5" s="73">
        <v>72.286000000000001</v>
      </c>
      <c r="AE5" s="70">
        <v>98.4</v>
      </c>
      <c r="AF5" s="70">
        <v>101</v>
      </c>
      <c r="AG5" s="72">
        <v>0.72</v>
      </c>
    </row>
    <row r="6" spans="1:33" ht="16" x14ac:dyDescent="0.2">
      <c r="A6" s="69" t="s">
        <v>470</v>
      </c>
      <c r="B6" s="70">
        <v>4.5</v>
      </c>
      <c r="C6" s="70">
        <v>405.2</v>
      </c>
      <c r="D6" s="71" t="s">
        <v>475</v>
      </c>
      <c r="E6" s="72">
        <v>11.61</v>
      </c>
      <c r="F6" s="70">
        <v>45.86</v>
      </c>
      <c r="G6" s="70">
        <v>2.83</v>
      </c>
      <c r="H6" s="70">
        <v>14.45</v>
      </c>
      <c r="I6" s="70">
        <v>4.34</v>
      </c>
      <c r="J6" s="70">
        <v>9.1</v>
      </c>
      <c r="K6" s="70">
        <v>13</v>
      </c>
      <c r="L6" s="70">
        <v>0.16</v>
      </c>
      <c r="M6" s="70">
        <v>7.07</v>
      </c>
      <c r="N6" s="70">
        <v>8.93</v>
      </c>
      <c r="O6" s="70">
        <v>3.25</v>
      </c>
      <c r="P6" s="70">
        <v>2.25</v>
      </c>
      <c r="Q6" s="70">
        <v>0.86</v>
      </c>
      <c r="R6" s="73">
        <v>1.111</v>
      </c>
      <c r="S6" s="74">
        <v>6541.01</v>
      </c>
      <c r="T6" s="70">
        <v>1083.0999999999999</v>
      </c>
      <c r="U6" s="73">
        <v>0.108</v>
      </c>
      <c r="V6" s="70">
        <v>2268.9299999999998</v>
      </c>
      <c r="W6" s="73">
        <v>0.22700000000000001</v>
      </c>
      <c r="X6" s="70">
        <v>474.72</v>
      </c>
      <c r="Y6" s="73">
        <v>4.7E-2</v>
      </c>
      <c r="Z6" s="73">
        <v>283.584</v>
      </c>
      <c r="AA6" s="73">
        <v>7.2999999999999995E-2</v>
      </c>
      <c r="AB6" s="70">
        <v>83.37</v>
      </c>
      <c r="AC6" s="73">
        <v>142.45500000000001</v>
      </c>
      <c r="AD6" s="73">
        <v>47.255000000000003</v>
      </c>
      <c r="AE6" s="70">
        <v>99.1</v>
      </c>
      <c r="AF6" s="70">
        <v>100.7</v>
      </c>
      <c r="AG6" s="72">
        <v>0.72</v>
      </c>
    </row>
    <row r="7" spans="1:33" ht="16" x14ac:dyDescent="0.2">
      <c r="A7" s="69" t="s">
        <v>470</v>
      </c>
      <c r="B7" s="70">
        <v>4.5999999999999996</v>
      </c>
      <c r="C7" s="70">
        <v>406.5</v>
      </c>
      <c r="D7" s="71" t="s">
        <v>476</v>
      </c>
      <c r="E7" s="72">
        <v>7.07</v>
      </c>
      <c r="F7" s="70">
        <v>44.18</v>
      </c>
      <c r="G7" s="70">
        <v>2.95</v>
      </c>
      <c r="H7" s="70">
        <v>14.93</v>
      </c>
      <c r="I7" s="70">
        <v>4.55</v>
      </c>
      <c r="J7" s="70">
        <v>8.9</v>
      </c>
      <c r="K7" s="70">
        <v>13</v>
      </c>
      <c r="L7" s="70">
        <v>0.21</v>
      </c>
      <c r="M7" s="70">
        <v>6.3</v>
      </c>
      <c r="N7" s="70">
        <v>8.83</v>
      </c>
      <c r="O7" s="70">
        <v>4</v>
      </c>
      <c r="P7" s="70">
        <v>2.67</v>
      </c>
      <c r="Q7" s="70">
        <v>1.1299999999999999</v>
      </c>
      <c r="R7" s="73">
        <v>1.5449999999999999</v>
      </c>
      <c r="S7" s="74">
        <v>7847.25</v>
      </c>
      <c r="T7" s="70">
        <v>2228.06</v>
      </c>
      <c r="U7" s="73">
        <v>0.223</v>
      </c>
      <c r="V7" s="70">
        <v>2764.15</v>
      </c>
      <c r="W7" s="73">
        <v>0.27600000000000002</v>
      </c>
      <c r="X7" s="70">
        <v>1093</v>
      </c>
      <c r="Y7" s="73">
        <v>0.109</v>
      </c>
      <c r="Z7" s="73">
        <v>126.10599999999999</v>
      </c>
      <c r="AA7" s="73">
        <v>6.9000000000000006E-2</v>
      </c>
      <c r="AB7" s="70">
        <v>74.69</v>
      </c>
      <c r="AC7" s="73">
        <v>99.605999999999995</v>
      </c>
      <c r="AD7" s="73">
        <v>105.41500000000001</v>
      </c>
      <c r="AE7" s="70">
        <v>98.6</v>
      </c>
      <c r="AF7" s="70">
        <v>101</v>
      </c>
      <c r="AG7" s="72">
        <v>0.13</v>
      </c>
    </row>
    <row r="8" spans="1:33" ht="16" x14ac:dyDescent="0.2">
      <c r="A8" s="69" t="s">
        <v>470</v>
      </c>
      <c r="B8" s="70">
        <v>4.9000000000000004</v>
      </c>
      <c r="C8" s="70">
        <v>409.1</v>
      </c>
      <c r="D8" s="71" t="s">
        <v>477</v>
      </c>
      <c r="E8" s="72">
        <v>28</v>
      </c>
      <c r="F8" s="70">
        <v>45.8</v>
      </c>
      <c r="G8" s="70">
        <v>1.69</v>
      </c>
      <c r="H8" s="70">
        <v>12.96</v>
      </c>
      <c r="I8" s="70">
        <v>4.43</v>
      </c>
      <c r="J8" s="70">
        <v>8.9</v>
      </c>
      <c r="K8" s="70">
        <v>12.9</v>
      </c>
      <c r="L8" s="70">
        <v>0.11</v>
      </c>
      <c r="M8" s="70">
        <v>11.66</v>
      </c>
      <c r="N8" s="70">
        <v>6.56</v>
      </c>
      <c r="O8" s="70">
        <v>3.29</v>
      </c>
      <c r="P8" s="70">
        <v>2.99</v>
      </c>
      <c r="Q8" s="70">
        <v>0.09</v>
      </c>
      <c r="R8" s="73">
        <v>1.6459999999999999</v>
      </c>
      <c r="S8" s="74">
        <v>1743.23</v>
      </c>
      <c r="T8" s="70">
        <v>1439.57</v>
      </c>
      <c r="U8" s="73">
        <v>0.14399999999999999</v>
      </c>
      <c r="V8" s="70">
        <v>1007.1</v>
      </c>
      <c r="W8" s="73">
        <v>0.10100000000000001</v>
      </c>
      <c r="X8" s="70">
        <v>293.99</v>
      </c>
      <c r="Y8" s="73">
        <v>2.9000000000000001E-2</v>
      </c>
      <c r="Z8" s="73">
        <v>73.028000000000006</v>
      </c>
      <c r="AA8" s="73">
        <v>8.7999999999999995E-2</v>
      </c>
      <c r="AB8" s="70">
        <v>80.36</v>
      </c>
      <c r="AC8" s="73">
        <v>46.59</v>
      </c>
      <c r="AD8" s="73">
        <v>34.643000000000001</v>
      </c>
      <c r="AE8" s="70">
        <v>98.5</v>
      </c>
      <c r="AF8" s="70">
        <v>100.5</v>
      </c>
      <c r="AG8" s="72">
        <v>0.72</v>
      </c>
    </row>
    <row r="9" spans="1:33" ht="16" x14ac:dyDescent="0.2">
      <c r="A9" s="69" t="s">
        <v>470</v>
      </c>
      <c r="B9" s="70">
        <v>4.1100000000000003</v>
      </c>
      <c r="C9" s="70">
        <v>411.1</v>
      </c>
      <c r="D9" s="71" t="s">
        <v>478</v>
      </c>
      <c r="E9" s="72">
        <v>-0.32</v>
      </c>
      <c r="F9" s="70">
        <v>42.05</v>
      </c>
      <c r="G9" s="70">
        <v>3.35</v>
      </c>
      <c r="H9" s="70">
        <v>13.59</v>
      </c>
      <c r="I9" s="70">
        <v>4.83</v>
      </c>
      <c r="J9" s="70">
        <v>8.5</v>
      </c>
      <c r="K9" s="70">
        <v>12.9</v>
      </c>
      <c r="L9" s="70">
        <v>0.19</v>
      </c>
      <c r="M9" s="70">
        <v>6.8</v>
      </c>
      <c r="N9" s="70">
        <v>11.92</v>
      </c>
      <c r="O9" s="70">
        <v>3.37</v>
      </c>
      <c r="P9" s="70">
        <v>2.11</v>
      </c>
      <c r="Q9" s="70">
        <v>0.83</v>
      </c>
      <c r="R9" s="73">
        <v>2.5289999999999999</v>
      </c>
      <c r="S9" s="74">
        <v>6674.48</v>
      </c>
      <c r="T9" s="70">
        <v>2112.7800000000002</v>
      </c>
      <c r="U9" s="73">
        <v>0.21099999999999999</v>
      </c>
      <c r="V9" s="70">
        <v>3924.05</v>
      </c>
      <c r="W9" s="73">
        <v>0.39200000000000002</v>
      </c>
      <c r="X9" s="70">
        <v>891.83</v>
      </c>
      <c r="Y9" s="73">
        <v>8.8999999999999996E-2</v>
      </c>
      <c r="Z9" s="73">
        <v>292.89</v>
      </c>
      <c r="AA9" s="73">
        <v>0.127</v>
      </c>
      <c r="AB9" s="70">
        <v>75.73</v>
      </c>
      <c r="AC9" s="73">
        <v>136.17400000000001</v>
      </c>
      <c r="AD9" s="73">
        <v>73.786000000000001</v>
      </c>
      <c r="AE9" s="70">
        <v>97.6</v>
      </c>
      <c r="AF9" s="70">
        <v>101.3</v>
      </c>
      <c r="AG9" s="72">
        <v>0.72</v>
      </c>
    </row>
    <row r="10" spans="1:33" ht="16" x14ac:dyDescent="0.2">
      <c r="A10" s="69" t="s">
        <v>470</v>
      </c>
      <c r="B10" s="70">
        <v>4.12</v>
      </c>
      <c r="C10" s="70">
        <v>412.1</v>
      </c>
      <c r="D10" s="71" t="s">
        <v>479</v>
      </c>
      <c r="E10" s="72">
        <v>5.03</v>
      </c>
      <c r="F10" s="70">
        <v>42.36</v>
      </c>
      <c r="G10" s="70">
        <v>3.35</v>
      </c>
      <c r="H10" s="70">
        <v>13.82</v>
      </c>
      <c r="I10" s="70">
        <v>4.82</v>
      </c>
      <c r="J10" s="70">
        <v>8.6</v>
      </c>
      <c r="K10" s="70">
        <v>12.9</v>
      </c>
      <c r="L10" s="70">
        <v>0.21</v>
      </c>
      <c r="M10" s="70">
        <v>6.25</v>
      </c>
      <c r="N10" s="70">
        <v>11.05</v>
      </c>
      <c r="O10" s="70">
        <v>3.9</v>
      </c>
      <c r="P10" s="70">
        <v>2.1</v>
      </c>
      <c r="Q10" s="70">
        <v>0.92</v>
      </c>
      <c r="R10" s="73">
        <v>2.7309999999999999</v>
      </c>
      <c r="S10" s="74">
        <v>4670.57</v>
      </c>
      <c r="T10" s="70">
        <v>2553.35</v>
      </c>
      <c r="U10" s="73">
        <v>0.255</v>
      </c>
      <c r="V10" s="70">
        <v>4426.88</v>
      </c>
      <c r="W10" s="73">
        <v>0.443</v>
      </c>
      <c r="X10" s="70">
        <v>1038.24</v>
      </c>
      <c r="Y10" s="73">
        <v>0.104</v>
      </c>
      <c r="Z10" s="73">
        <v>183.54900000000001</v>
      </c>
      <c r="AA10" s="73">
        <v>0.09</v>
      </c>
      <c r="AB10" s="70">
        <v>59.12</v>
      </c>
      <c r="AC10" s="73">
        <v>111.44799999999999</v>
      </c>
      <c r="AD10" s="73">
        <v>85.438000000000002</v>
      </c>
      <c r="AE10" s="70">
        <v>97.3</v>
      </c>
      <c r="AF10" s="70">
        <v>101.2</v>
      </c>
      <c r="AG10" s="72">
        <v>0.63</v>
      </c>
    </row>
    <row r="11" spans="1:33" ht="16" x14ac:dyDescent="0.2">
      <c r="A11" s="69" t="s">
        <v>470</v>
      </c>
      <c r="B11" s="70">
        <v>4.13</v>
      </c>
      <c r="C11" s="70">
        <v>413.6</v>
      </c>
      <c r="D11" s="71" t="s">
        <v>480</v>
      </c>
      <c r="E11" s="72">
        <v>1.5</v>
      </c>
      <c r="F11" s="70">
        <v>42.32</v>
      </c>
      <c r="G11" s="70">
        <v>3.69</v>
      </c>
      <c r="H11" s="70">
        <v>14.62</v>
      </c>
      <c r="I11" s="70">
        <v>4.6500000000000004</v>
      </c>
      <c r="J11" s="70">
        <v>8.6999999999999993</v>
      </c>
      <c r="K11" s="70">
        <v>12.9</v>
      </c>
      <c r="L11" s="70">
        <v>0.2</v>
      </c>
      <c r="M11" s="70">
        <v>6.08</v>
      </c>
      <c r="N11" s="70">
        <v>11.17</v>
      </c>
      <c r="O11" s="70">
        <v>3.36</v>
      </c>
      <c r="P11" s="70">
        <v>2.36</v>
      </c>
      <c r="Q11" s="70">
        <v>1.01</v>
      </c>
      <c r="R11" s="73">
        <v>1.946</v>
      </c>
      <c r="S11" s="74">
        <v>3507.61</v>
      </c>
      <c r="T11" s="70">
        <v>2074.15</v>
      </c>
      <c r="U11" s="73">
        <v>0.20699999999999999</v>
      </c>
      <c r="V11" s="70">
        <v>4089.47</v>
      </c>
      <c r="W11" s="73">
        <v>0.40899999999999997</v>
      </c>
      <c r="X11" s="70">
        <v>728.8</v>
      </c>
      <c r="Y11" s="73">
        <v>7.2999999999999995E-2</v>
      </c>
      <c r="Z11" s="73">
        <v>144.92500000000001</v>
      </c>
      <c r="AA11" s="73">
        <v>6.6000000000000003E-2</v>
      </c>
      <c r="AB11" s="70">
        <v>58.82</v>
      </c>
      <c r="AC11" s="73">
        <v>105.18600000000001</v>
      </c>
      <c r="AD11" s="73">
        <v>58.398000000000003</v>
      </c>
      <c r="AE11" s="70">
        <v>98.2</v>
      </c>
      <c r="AF11" s="70">
        <v>101.1</v>
      </c>
      <c r="AG11" s="72">
        <v>0.78</v>
      </c>
    </row>
    <row r="12" spans="1:33" ht="16" x14ac:dyDescent="0.2">
      <c r="A12" s="69" t="s">
        <v>470</v>
      </c>
      <c r="B12" s="70">
        <v>4.1500000000000004</v>
      </c>
      <c r="C12" s="70">
        <v>415.2</v>
      </c>
      <c r="D12" s="71" t="s">
        <v>481</v>
      </c>
      <c r="E12" s="72">
        <v>-3</v>
      </c>
      <c r="F12" s="70">
        <v>44</v>
      </c>
      <c r="G12" s="70">
        <v>2.85</v>
      </c>
      <c r="H12" s="70">
        <v>13.77</v>
      </c>
      <c r="I12" s="70">
        <v>4.84</v>
      </c>
      <c r="J12" s="70">
        <v>8.5</v>
      </c>
      <c r="K12" s="70">
        <v>12.9</v>
      </c>
      <c r="L12" s="70">
        <v>0.19</v>
      </c>
      <c r="M12" s="70">
        <v>5.46</v>
      </c>
      <c r="N12" s="70">
        <v>12.79</v>
      </c>
      <c r="O12" s="70">
        <v>3.24</v>
      </c>
      <c r="P12" s="70">
        <v>2.2200000000000002</v>
      </c>
      <c r="Q12" s="70">
        <v>0.99</v>
      </c>
      <c r="R12" s="73">
        <v>1.224</v>
      </c>
      <c r="S12" s="74">
        <v>10015.6</v>
      </c>
      <c r="T12" s="70">
        <v>1676.54</v>
      </c>
      <c r="U12" s="73">
        <v>0.16800000000000001</v>
      </c>
      <c r="V12" s="70">
        <v>2213.6999999999998</v>
      </c>
      <c r="W12" s="73">
        <v>0.221</v>
      </c>
      <c r="X12" s="70">
        <v>845.99</v>
      </c>
      <c r="Y12" s="73">
        <v>8.5000000000000006E-2</v>
      </c>
      <c r="Z12" s="73">
        <v>197.56399999999999</v>
      </c>
      <c r="AA12" s="73">
        <v>4.9000000000000002E-2</v>
      </c>
      <c r="AB12" s="70">
        <v>66.12</v>
      </c>
      <c r="AC12" s="73">
        <v>68.956000000000003</v>
      </c>
      <c r="AD12" s="73">
        <v>69.11</v>
      </c>
      <c r="AE12" s="70">
        <v>98.9</v>
      </c>
      <c r="AF12" s="70">
        <v>100.9</v>
      </c>
      <c r="AG12" s="72">
        <v>0.72</v>
      </c>
    </row>
    <row r="13" spans="1:33" ht="16" x14ac:dyDescent="0.2">
      <c r="A13" s="69" t="s">
        <v>470</v>
      </c>
      <c r="B13" s="70">
        <v>4.17</v>
      </c>
      <c r="C13" s="70">
        <v>417.1</v>
      </c>
      <c r="D13" s="71" t="s">
        <v>482</v>
      </c>
      <c r="E13" s="72">
        <v>-3.02</v>
      </c>
      <c r="F13" s="70">
        <v>42.42</v>
      </c>
      <c r="G13" s="70">
        <v>3.61</v>
      </c>
      <c r="H13" s="70">
        <v>14.14</v>
      </c>
      <c r="I13" s="70">
        <v>4.68</v>
      </c>
      <c r="J13" s="70">
        <v>8.6999999999999993</v>
      </c>
      <c r="K13" s="70">
        <v>12.9</v>
      </c>
      <c r="L13" s="70">
        <v>0.23</v>
      </c>
      <c r="M13" s="70">
        <v>6.24</v>
      </c>
      <c r="N13" s="70">
        <v>11.47</v>
      </c>
      <c r="O13" s="70">
        <v>3.43</v>
      </c>
      <c r="P13" s="70">
        <v>1.98</v>
      </c>
      <c r="Q13" s="70">
        <v>0.75</v>
      </c>
      <c r="R13" s="73">
        <v>2.4750000000000001</v>
      </c>
      <c r="S13" s="74">
        <v>9455.68</v>
      </c>
      <c r="T13" s="70">
        <v>2323.23</v>
      </c>
      <c r="U13" s="73">
        <v>0.23200000000000001</v>
      </c>
      <c r="V13" s="70">
        <v>4373.1499999999996</v>
      </c>
      <c r="W13" s="73">
        <v>0.437</v>
      </c>
      <c r="X13" s="70">
        <v>680.25</v>
      </c>
      <c r="Y13" s="73">
        <v>6.8000000000000005E-2</v>
      </c>
      <c r="Z13" s="73">
        <v>192.155</v>
      </c>
      <c r="AA13" s="73">
        <v>6.7000000000000004E-2</v>
      </c>
      <c r="AB13" s="70">
        <v>41.12</v>
      </c>
      <c r="AC13" s="73">
        <v>103.26300000000001</v>
      </c>
      <c r="AD13" s="73">
        <v>50.97</v>
      </c>
      <c r="AE13" s="70">
        <v>97.6</v>
      </c>
      <c r="AF13" s="70">
        <v>101.2</v>
      </c>
      <c r="AG13" s="72">
        <v>0.76</v>
      </c>
    </row>
    <row r="14" spans="1:33" ht="16" x14ac:dyDescent="0.2">
      <c r="A14" s="69" t="s">
        <v>470</v>
      </c>
      <c r="B14" s="70">
        <v>4.2</v>
      </c>
      <c r="C14" s="70">
        <v>420.4</v>
      </c>
      <c r="D14" s="71" t="s">
        <v>483</v>
      </c>
      <c r="E14" s="72">
        <v>2.17</v>
      </c>
      <c r="F14" s="70">
        <v>42.43</v>
      </c>
      <c r="G14" s="70">
        <v>3.35</v>
      </c>
      <c r="H14" s="70">
        <v>14.06</v>
      </c>
      <c r="I14" s="70">
        <v>4.76</v>
      </c>
      <c r="J14" s="70">
        <v>8.6</v>
      </c>
      <c r="K14" s="70">
        <v>12.9</v>
      </c>
      <c r="L14" s="70">
        <v>0.18</v>
      </c>
      <c r="M14" s="70">
        <v>7.05</v>
      </c>
      <c r="N14" s="70">
        <v>11.58</v>
      </c>
      <c r="O14" s="70">
        <v>3.47</v>
      </c>
      <c r="P14" s="70">
        <v>2.14</v>
      </c>
      <c r="Q14" s="70">
        <v>0.73</v>
      </c>
      <c r="R14" s="73">
        <v>1.728</v>
      </c>
      <c r="S14" s="74">
        <v>6935.76</v>
      </c>
      <c r="T14" s="70">
        <v>2125.83</v>
      </c>
      <c r="U14" s="73">
        <v>0.21299999999999999</v>
      </c>
      <c r="V14" s="70">
        <v>4815.45</v>
      </c>
      <c r="W14" s="73">
        <v>0.48199999999999998</v>
      </c>
      <c r="X14" s="70">
        <v>923.29</v>
      </c>
      <c r="Y14" s="73">
        <v>9.1999999999999998E-2</v>
      </c>
      <c r="Z14" s="73">
        <v>238.148</v>
      </c>
      <c r="AA14" s="73">
        <v>7.2999999999999995E-2</v>
      </c>
      <c r="AB14" s="70">
        <v>68.45</v>
      </c>
      <c r="AC14" s="73">
        <v>128.17500000000001</v>
      </c>
      <c r="AD14" s="73">
        <v>77.099999999999994</v>
      </c>
      <c r="AE14" s="70">
        <v>98.4</v>
      </c>
      <c r="AF14" s="70">
        <v>101.3</v>
      </c>
      <c r="AG14" s="72">
        <v>0.48</v>
      </c>
    </row>
    <row r="15" spans="1:33" ht="16" x14ac:dyDescent="0.2">
      <c r="A15" s="69" t="s">
        <v>470</v>
      </c>
      <c r="B15" s="70">
        <v>4.2</v>
      </c>
      <c r="C15" s="70">
        <v>420.5</v>
      </c>
      <c r="D15" s="71" t="s">
        <v>484</v>
      </c>
      <c r="E15" s="72">
        <v>1.1000000000000001</v>
      </c>
      <c r="F15" s="70">
        <v>42.19</v>
      </c>
      <c r="G15" s="70">
        <v>3.64</v>
      </c>
      <c r="H15" s="70">
        <v>14.24</v>
      </c>
      <c r="I15" s="70">
        <v>4.8099999999999996</v>
      </c>
      <c r="J15" s="70">
        <v>8.5</v>
      </c>
      <c r="K15" s="70">
        <v>12.9</v>
      </c>
      <c r="L15" s="70">
        <v>0.16</v>
      </c>
      <c r="M15" s="70">
        <v>6.85</v>
      </c>
      <c r="N15" s="70">
        <v>12.74</v>
      </c>
      <c r="O15" s="70">
        <v>3.29</v>
      </c>
      <c r="P15" s="70">
        <v>2.0299999999999998</v>
      </c>
      <c r="Q15" s="70">
        <v>0.78</v>
      </c>
      <c r="R15" s="73">
        <v>0.80100000000000005</v>
      </c>
      <c r="S15" s="74">
        <v>7000.39</v>
      </c>
      <c r="T15" s="70">
        <v>1618.14</v>
      </c>
      <c r="U15" s="73">
        <v>0.16200000000000001</v>
      </c>
      <c r="V15" s="70">
        <v>3752.14</v>
      </c>
      <c r="W15" s="73">
        <v>0.375</v>
      </c>
      <c r="X15" s="70">
        <v>715.53</v>
      </c>
      <c r="Y15" s="73">
        <v>7.1999999999999995E-2</v>
      </c>
      <c r="Z15" s="73">
        <v>185.227</v>
      </c>
      <c r="AA15" s="73">
        <v>2.9000000000000001E-2</v>
      </c>
      <c r="AB15" s="70">
        <v>49.5</v>
      </c>
      <c r="AC15" s="73">
        <v>673.12400000000002</v>
      </c>
      <c r="AD15" s="73">
        <v>58.976999999999997</v>
      </c>
      <c r="AE15" s="70">
        <v>99.3</v>
      </c>
      <c r="AF15" s="70">
        <v>101</v>
      </c>
      <c r="AG15" s="72">
        <v>0.72</v>
      </c>
    </row>
    <row r="16" spans="1:33" ht="16" x14ac:dyDescent="0.2">
      <c r="A16" s="69" t="s">
        <v>470</v>
      </c>
      <c r="B16" s="70">
        <v>4.21</v>
      </c>
      <c r="C16" s="70">
        <v>421.1</v>
      </c>
      <c r="D16" s="71" t="s">
        <v>485</v>
      </c>
      <c r="E16" s="72">
        <v>0.46</v>
      </c>
      <c r="F16" s="70">
        <v>42.48</v>
      </c>
      <c r="G16" s="70">
        <v>3.43</v>
      </c>
      <c r="H16" s="70">
        <v>13.95</v>
      </c>
      <c r="I16" s="70">
        <v>4.6500000000000004</v>
      </c>
      <c r="J16" s="70">
        <v>8.6999999999999993</v>
      </c>
      <c r="K16" s="70">
        <v>12.9</v>
      </c>
      <c r="L16" s="70">
        <v>0.21</v>
      </c>
      <c r="M16" s="70">
        <v>6.94</v>
      </c>
      <c r="N16" s="70">
        <v>11.55</v>
      </c>
      <c r="O16" s="70">
        <v>3.09</v>
      </c>
      <c r="P16" s="70">
        <v>2.0299999999999998</v>
      </c>
      <c r="Q16" s="70">
        <v>0.63</v>
      </c>
      <c r="R16" s="73">
        <v>2.4359999999999999</v>
      </c>
      <c r="S16" s="74">
        <v>5875.19</v>
      </c>
      <c r="T16" s="70">
        <v>2085.52</v>
      </c>
      <c r="U16" s="73">
        <v>0.20899999999999999</v>
      </c>
      <c r="V16" s="70">
        <v>4141.5</v>
      </c>
      <c r="W16" s="73">
        <v>0.41399999999999998</v>
      </c>
      <c r="X16" s="70">
        <v>686.33</v>
      </c>
      <c r="Y16" s="73">
        <v>6.9000000000000006E-2</v>
      </c>
      <c r="Z16" s="73">
        <v>247.04400000000001</v>
      </c>
      <c r="AA16" s="73">
        <v>0.1</v>
      </c>
      <c r="AB16" s="70">
        <v>72.67</v>
      </c>
      <c r="AC16" s="73">
        <v>159.541</v>
      </c>
      <c r="AD16" s="73">
        <v>61.969000000000001</v>
      </c>
      <c r="AE16" s="70">
        <v>97.6</v>
      </c>
      <c r="AF16" s="70">
        <v>101.2</v>
      </c>
      <c r="AG16" s="72">
        <v>0.72</v>
      </c>
    </row>
    <row r="17" spans="1:33" ht="16" x14ac:dyDescent="0.2">
      <c r="A17" s="69" t="s">
        <v>470</v>
      </c>
      <c r="B17" s="70">
        <v>4.24</v>
      </c>
      <c r="C17" s="70">
        <v>424.3</v>
      </c>
      <c r="D17" s="71" t="s">
        <v>486</v>
      </c>
      <c r="E17" s="72">
        <v>-3.54</v>
      </c>
      <c r="F17" s="70">
        <v>42.95</v>
      </c>
      <c r="G17" s="70">
        <v>2.89</v>
      </c>
      <c r="H17" s="70">
        <v>15.02</v>
      </c>
      <c r="I17" s="70">
        <v>4.5999999999999996</v>
      </c>
      <c r="J17" s="70">
        <v>8.8000000000000007</v>
      </c>
      <c r="K17" s="70">
        <v>12.9</v>
      </c>
      <c r="L17" s="70">
        <v>0.23</v>
      </c>
      <c r="M17" s="70">
        <v>6.77</v>
      </c>
      <c r="N17" s="70">
        <v>11.88</v>
      </c>
      <c r="O17" s="70">
        <v>3.15</v>
      </c>
      <c r="P17" s="70">
        <v>2.0099999999999998</v>
      </c>
      <c r="Q17" s="70">
        <v>0.66</v>
      </c>
      <c r="R17" s="73">
        <v>1.18</v>
      </c>
      <c r="S17" s="74">
        <v>5119.62</v>
      </c>
      <c r="T17" s="70">
        <v>2367.04</v>
      </c>
      <c r="U17" s="73">
        <v>0.23699999999999999</v>
      </c>
      <c r="V17" s="70">
        <v>4683.29</v>
      </c>
      <c r="W17" s="73">
        <v>0.46800000000000003</v>
      </c>
      <c r="X17" s="70">
        <v>837.52</v>
      </c>
      <c r="Y17" s="73">
        <v>8.4000000000000005E-2</v>
      </c>
      <c r="Z17" s="73">
        <v>195.27500000000001</v>
      </c>
      <c r="AA17" s="73">
        <v>4.2000000000000003E-2</v>
      </c>
      <c r="AB17" s="70">
        <v>78.400000000000006</v>
      </c>
      <c r="AC17" s="73">
        <v>138.46299999999999</v>
      </c>
      <c r="AD17" s="73">
        <v>66.69</v>
      </c>
      <c r="AE17" s="70">
        <v>98.9</v>
      </c>
      <c r="AF17" s="70">
        <v>101.3</v>
      </c>
      <c r="AG17" s="72">
        <v>0.72</v>
      </c>
    </row>
    <row r="18" spans="1:33" ht="16" x14ac:dyDescent="0.2">
      <c r="A18" s="69" t="s">
        <v>470</v>
      </c>
      <c r="B18" s="70">
        <v>4.25</v>
      </c>
      <c r="C18" s="70">
        <v>425.1</v>
      </c>
      <c r="D18" s="71" t="s">
        <v>487</v>
      </c>
      <c r="E18" s="72">
        <v>-1.1599999999999999</v>
      </c>
      <c r="F18" s="70">
        <v>45.64</v>
      </c>
      <c r="G18" s="70">
        <v>2.97</v>
      </c>
      <c r="H18" s="70">
        <v>15.09</v>
      </c>
      <c r="I18" s="70">
        <v>4.42</v>
      </c>
      <c r="J18" s="70">
        <v>8.9</v>
      </c>
      <c r="K18" s="70">
        <v>12.9</v>
      </c>
      <c r="L18" s="70">
        <v>0.26</v>
      </c>
      <c r="M18" s="70">
        <v>5.79</v>
      </c>
      <c r="N18" s="70">
        <v>8.5</v>
      </c>
      <c r="O18" s="70">
        <v>4.22</v>
      </c>
      <c r="P18" s="70">
        <v>2.33</v>
      </c>
      <c r="Q18" s="70">
        <v>0.73</v>
      </c>
      <c r="R18" s="73">
        <v>1.246</v>
      </c>
      <c r="S18" s="74">
        <v>2885.07</v>
      </c>
      <c r="T18" s="70">
        <v>1960.84</v>
      </c>
      <c r="U18" s="73">
        <v>0.19600000000000001</v>
      </c>
      <c r="V18" s="70">
        <v>4018.41</v>
      </c>
      <c r="W18" s="73">
        <v>0.40200000000000002</v>
      </c>
      <c r="X18" s="70">
        <v>642.88</v>
      </c>
      <c r="Y18" s="73">
        <v>6.4000000000000001E-2</v>
      </c>
      <c r="Z18" s="73">
        <v>99.88</v>
      </c>
      <c r="AA18" s="73">
        <v>3.4000000000000002E-2</v>
      </c>
      <c r="AB18" s="70">
        <v>38.049999999999997</v>
      </c>
      <c r="AC18" s="73">
        <v>93.802999999999997</v>
      </c>
      <c r="AD18" s="73">
        <v>49.012</v>
      </c>
      <c r="AE18" s="70">
        <v>98.8</v>
      </c>
      <c r="AF18" s="70">
        <v>100.9</v>
      </c>
      <c r="AG18" s="72">
        <v>0.72</v>
      </c>
    </row>
    <row r="19" spans="1:33" ht="16" x14ac:dyDescent="0.2">
      <c r="A19" s="69" t="s">
        <v>470</v>
      </c>
      <c r="B19" s="70">
        <v>4.26</v>
      </c>
      <c r="C19" s="70">
        <v>426.1</v>
      </c>
      <c r="D19" s="71" t="s">
        <v>488</v>
      </c>
      <c r="E19" s="72">
        <v>2.19</v>
      </c>
      <c r="F19" s="70">
        <v>47.7</v>
      </c>
      <c r="G19" s="70">
        <v>2.3199999999999998</v>
      </c>
      <c r="H19" s="70">
        <v>15.16</v>
      </c>
      <c r="I19" s="70">
        <v>4.32</v>
      </c>
      <c r="J19" s="70">
        <v>9</v>
      </c>
      <c r="K19" s="70">
        <v>12.9</v>
      </c>
      <c r="L19" s="70">
        <v>0.24</v>
      </c>
      <c r="M19" s="70">
        <v>5.39</v>
      </c>
      <c r="N19" s="70">
        <v>6.54</v>
      </c>
      <c r="O19" s="70">
        <v>4.68</v>
      </c>
      <c r="P19" s="70">
        <v>2.76</v>
      </c>
      <c r="Q19" s="70">
        <v>1.03</v>
      </c>
      <c r="R19" s="73">
        <v>0.95399999999999996</v>
      </c>
      <c r="S19" s="74">
        <v>6617.12</v>
      </c>
      <c r="T19" s="70">
        <v>1864.31</v>
      </c>
      <c r="U19" s="73">
        <v>0.186</v>
      </c>
      <c r="V19" s="70">
        <v>3394.75</v>
      </c>
      <c r="W19" s="73">
        <v>0.33900000000000002</v>
      </c>
      <c r="X19" s="70">
        <v>883.08</v>
      </c>
      <c r="Y19" s="73">
        <v>8.7999999999999995E-2</v>
      </c>
      <c r="Z19" s="73">
        <v>62.345999999999997</v>
      </c>
      <c r="AA19" s="73">
        <v>4.7E-2</v>
      </c>
      <c r="AB19" s="70">
        <v>80.23</v>
      </c>
      <c r="AC19" s="73">
        <v>129.589</v>
      </c>
      <c r="AD19" s="73">
        <v>78.905000000000001</v>
      </c>
      <c r="AE19" s="70">
        <v>99.1</v>
      </c>
      <c r="AF19" s="70">
        <v>100.8</v>
      </c>
      <c r="AG19" s="72">
        <v>0.72</v>
      </c>
    </row>
    <row r="20" spans="1:33" ht="16" x14ac:dyDescent="0.2">
      <c r="A20" s="69" t="s">
        <v>470</v>
      </c>
      <c r="B20" s="70">
        <v>4.2699999999999996</v>
      </c>
      <c r="C20" s="70">
        <v>427.2</v>
      </c>
      <c r="D20" s="71" t="s">
        <v>489</v>
      </c>
      <c r="E20" s="72">
        <v>-0.33</v>
      </c>
      <c r="F20" s="70">
        <v>46.32</v>
      </c>
      <c r="G20" s="70">
        <v>2.85</v>
      </c>
      <c r="H20" s="70">
        <v>14.93</v>
      </c>
      <c r="I20" s="70">
        <v>4.4400000000000004</v>
      </c>
      <c r="J20" s="70">
        <v>8.9</v>
      </c>
      <c r="K20" s="70">
        <v>12.9</v>
      </c>
      <c r="L20" s="70">
        <v>0.24</v>
      </c>
      <c r="M20" s="70">
        <v>5.16</v>
      </c>
      <c r="N20" s="70">
        <v>7.95</v>
      </c>
      <c r="O20" s="70">
        <v>4.37</v>
      </c>
      <c r="P20" s="70">
        <v>2.69</v>
      </c>
      <c r="Q20" s="70">
        <v>1.1599999999999999</v>
      </c>
      <c r="R20" s="73">
        <v>1.0720000000000001</v>
      </c>
      <c r="S20" s="74">
        <v>4377.34</v>
      </c>
      <c r="T20" s="70">
        <v>1777.17</v>
      </c>
      <c r="U20" s="73">
        <v>0.17799999999999999</v>
      </c>
      <c r="V20" s="70">
        <v>4535.6000000000004</v>
      </c>
      <c r="W20" s="73">
        <v>0.45400000000000001</v>
      </c>
      <c r="X20" s="70">
        <v>971.62</v>
      </c>
      <c r="Y20" s="73">
        <v>9.7000000000000003E-2</v>
      </c>
      <c r="Z20" s="73">
        <v>76.186000000000007</v>
      </c>
      <c r="AA20" s="73">
        <v>5.5E-2</v>
      </c>
      <c r="AB20" s="70">
        <v>84.65</v>
      </c>
      <c r="AC20" s="73">
        <v>169.55699999999999</v>
      </c>
      <c r="AD20" s="73">
        <v>90.695999999999998</v>
      </c>
      <c r="AE20" s="70">
        <v>99</v>
      </c>
      <c r="AF20" s="70">
        <v>100.9</v>
      </c>
      <c r="AG20" s="72">
        <v>0.72</v>
      </c>
    </row>
    <row r="21" spans="1:33" ht="16" x14ac:dyDescent="0.2">
      <c r="A21" s="69" t="s">
        <v>470</v>
      </c>
      <c r="B21" s="70">
        <v>4.29</v>
      </c>
      <c r="C21" s="70">
        <v>429.1</v>
      </c>
      <c r="D21" s="71" t="s">
        <v>490</v>
      </c>
      <c r="E21" s="72">
        <v>0.44</v>
      </c>
      <c r="F21" s="70">
        <v>46.59</v>
      </c>
      <c r="G21" s="70">
        <v>2.76</v>
      </c>
      <c r="H21" s="70">
        <v>13.76</v>
      </c>
      <c r="I21" s="70">
        <v>4.67</v>
      </c>
      <c r="J21" s="70">
        <v>8.6999999999999993</v>
      </c>
      <c r="K21" s="70">
        <v>12.9</v>
      </c>
      <c r="L21" s="70">
        <v>0.2</v>
      </c>
      <c r="M21" s="70">
        <v>5.66</v>
      </c>
      <c r="N21" s="70">
        <v>10.1</v>
      </c>
      <c r="O21" s="70">
        <v>3.85</v>
      </c>
      <c r="P21" s="70">
        <v>2.54</v>
      </c>
      <c r="Q21" s="70">
        <v>0.68</v>
      </c>
      <c r="R21" s="73">
        <v>0.61</v>
      </c>
      <c r="S21" s="74">
        <v>10518.52</v>
      </c>
      <c r="T21" s="70">
        <v>1855.57</v>
      </c>
      <c r="U21" s="73">
        <v>0.186</v>
      </c>
      <c r="V21" s="70">
        <v>3991.81</v>
      </c>
      <c r="W21" s="73">
        <v>0.39900000000000002</v>
      </c>
      <c r="X21" s="70">
        <v>950.07</v>
      </c>
      <c r="Y21" s="73">
        <v>9.5000000000000001E-2</v>
      </c>
      <c r="Z21" s="73">
        <v>109.88800000000001</v>
      </c>
      <c r="AA21" s="73">
        <v>3.2000000000000001E-2</v>
      </c>
      <c r="AB21" s="70">
        <v>80.52</v>
      </c>
      <c r="AC21" s="73">
        <v>130.96100000000001</v>
      </c>
      <c r="AD21" s="73">
        <v>91.415999999999997</v>
      </c>
      <c r="AE21" s="70">
        <v>99.5</v>
      </c>
      <c r="AF21" s="70">
        <v>101</v>
      </c>
      <c r="AG21" s="72">
        <v>0.72</v>
      </c>
    </row>
    <row r="22" spans="1:33" ht="16" x14ac:dyDescent="0.2">
      <c r="A22" s="69" t="s">
        <v>470</v>
      </c>
      <c r="B22" s="70">
        <v>4.3</v>
      </c>
      <c r="C22" s="70">
        <v>430.1</v>
      </c>
      <c r="D22" s="71" t="s">
        <v>491</v>
      </c>
      <c r="E22" s="72">
        <v>3.38</v>
      </c>
      <c r="F22" s="70">
        <v>44.31</v>
      </c>
      <c r="G22" s="70">
        <v>3.23</v>
      </c>
      <c r="H22" s="70">
        <v>13.55</v>
      </c>
      <c r="I22" s="70">
        <v>4.7</v>
      </c>
      <c r="J22" s="70">
        <v>8.6999999999999993</v>
      </c>
      <c r="K22" s="70">
        <v>12.9</v>
      </c>
      <c r="L22" s="70">
        <v>0.15</v>
      </c>
      <c r="M22" s="70">
        <v>6.72</v>
      </c>
      <c r="N22" s="70">
        <v>11.24</v>
      </c>
      <c r="O22" s="70">
        <v>3.28</v>
      </c>
      <c r="P22" s="70">
        <v>2.29</v>
      </c>
      <c r="Q22" s="70">
        <v>0.9</v>
      </c>
      <c r="R22" s="73">
        <v>1.0589999999999999</v>
      </c>
      <c r="S22" s="74">
        <v>6495.55</v>
      </c>
      <c r="T22" s="70">
        <v>1984.48</v>
      </c>
      <c r="U22" s="73">
        <v>0.19800000000000001</v>
      </c>
      <c r="V22" s="70">
        <v>4450.66</v>
      </c>
      <c r="W22" s="73">
        <v>0.44500000000000001</v>
      </c>
      <c r="X22" s="70">
        <v>844.71</v>
      </c>
      <c r="Y22" s="73">
        <v>8.4000000000000005E-2</v>
      </c>
      <c r="Z22" s="73">
        <v>156.00200000000001</v>
      </c>
      <c r="AA22" s="73">
        <v>5.2999999999999999E-2</v>
      </c>
      <c r="AB22" s="70">
        <v>91.62</v>
      </c>
      <c r="AC22" s="73">
        <v>185.55500000000001</v>
      </c>
      <c r="AD22" s="73">
        <v>82.241</v>
      </c>
      <c r="AE22" s="70">
        <v>99</v>
      </c>
      <c r="AF22" s="70">
        <v>101.1</v>
      </c>
      <c r="AG22" s="72">
        <v>0.72</v>
      </c>
    </row>
    <row r="23" spans="1:33" ht="16" x14ac:dyDescent="0.2">
      <c r="A23" s="69" t="s">
        <v>470</v>
      </c>
      <c r="B23" s="70">
        <v>4.3099999999999996</v>
      </c>
      <c r="C23" s="70">
        <v>431.3</v>
      </c>
      <c r="D23" s="71" t="s">
        <v>492</v>
      </c>
      <c r="E23" s="72">
        <v>3.83</v>
      </c>
      <c r="F23" s="70">
        <v>49.24</v>
      </c>
      <c r="G23" s="70">
        <v>2.58</v>
      </c>
      <c r="H23" s="70">
        <v>14.43</v>
      </c>
      <c r="I23" s="70">
        <v>4.2</v>
      </c>
      <c r="J23" s="70">
        <v>9.1</v>
      </c>
      <c r="K23" s="70">
        <v>12.9</v>
      </c>
      <c r="L23" s="70">
        <v>0.21</v>
      </c>
      <c r="M23" s="70">
        <v>5.76</v>
      </c>
      <c r="N23" s="70">
        <v>5.3</v>
      </c>
      <c r="O23" s="70">
        <v>4.49</v>
      </c>
      <c r="P23" s="70">
        <v>2.91</v>
      </c>
      <c r="Q23" s="70">
        <v>0.83</v>
      </c>
      <c r="R23" s="73">
        <v>1.0089999999999999</v>
      </c>
      <c r="S23" s="74">
        <v>9771.0499999999993</v>
      </c>
      <c r="T23" s="70">
        <v>1655.34</v>
      </c>
      <c r="U23" s="73">
        <v>0.16600000000000001</v>
      </c>
      <c r="V23" s="70">
        <v>3125.24</v>
      </c>
      <c r="W23" s="73">
        <v>0.313</v>
      </c>
      <c r="X23" s="70">
        <v>999.03</v>
      </c>
      <c r="Y23" s="73">
        <v>0.1</v>
      </c>
      <c r="Z23" s="73">
        <v>60.460999999999999</v>
      </c>
      <c r="AA23" s="73">
        <v>3.2000000000000001E-2</v>
      </c>
      <c r="AB23" s="70">
        <v>52.34</v>
      </c>
      <c r="AC23" s="73">
        <v>90.816000000000003</v>
      </c>
      <c r="AD23" s="73">
        <v>81.881</v>
      </c>
      <c r="AE23" s="70">
        <v>99.1</v>
      </c>
      <c r="AF23" s="70">
        <v>100.7</v>
      </c>
      <c r="AG23" s="72">
        <v>0.72</v>
      </c>
    </row>
    <row r="24" spans="1:33" ht="16" x14ac:dyDescent="0.2">
      <c r="A24" s="69" t="s">
        <v>470</v>
      </c>
      <c r="B24" s="70">
        <v>4.3499999999999996</v>
      </c>
      <c r="C24" s="70">
        <v>435.3</v>
      </c>
      <c r="D24" s="71" t="s">
        <v>493</v>
      </c>
      <c r="E24" s="72">
        <v>-1.99</v>
      </c>
      <c r="F24" s="70">
        <v>44.89</v>
      </c>
      <c r="G24" s="70">
        <v>3.06</v>
      </c>
      <c r="H24" s="70">
        <v>13.39</v>
      </c>
      <c r="I24" s="70">
        <v>4.79</v>
      </c>
      <c r="J24" s="70">
        <v>8.6</v>
      </c>
      <c r="K24" s="70">
        <v>12.9</v>
      </c>
      <c r="L24" s="70">
        <v>0.23</v>
      </c>
      <c r="M24" s="70">
        <v>5.79</v>
      </c>
      <c r="N24" s="70">
        <v>10.73</v>
      </c>
      <c r="O24" s="70">
        <v>3.96</v>
      </c>
      <c r="P24" s="70">
        <v>2.21</v>
      </c>
      <c r="Q24" s="70">
        <v>0.92</v>
      </c>
      <c r="R24" s="73">
        <v>1.5529999999999999</v>
      </c>
      <c r="S24" s="74">
        <v>3795.8</v>
      </c>
      <c r="T24" s="70">
        <v>2061.6999999999998</v>
      </c>
      <c r="U24" s="73">
        <v>0.20599999999999999</v>
      </c>
      <c r="V24" s="70">
        <v>4403.29</v>
      </c>
      <c r="W24" s="73">
        <v>0.44</v>
      </c>
      <c r="X24" s="70">
        <v>861.16</v>
      </c>
      <c r="Y24" s="73">
        <v>8.5999999999999993E-2</v>
      </c>
      <c r="Z24" s="73">
        <v>84.805999999999997</v>
      </c>
      <c r="AA24" s="73">
        <v>4.2999999999999997E-2</v>
      </c>
      <c r="AB24" s="70">
        <v>44.25</v>
      </c>
      <c r="AC24" s="73">
        <v>105.613</v>
      </c>
      <c r="AD24" s="73">
        <v>65.394000000000005</v>
      </c>
      <c r="AE24" s="70">
        <v>98.5</v>
      </c>
      <c r="AF24" s="70">
        <v>101</v>
      </c>
      <c r="AG24" s="72">
        <v>0.72</v>
      </c>
    </row>
    <row r="25" spans="1:33" ht="16" x14ac:dyDescent="0.2">
      <c r="A25" s="69" t="s">
        <v>470</v>
      </c>
      <c r="B25" s="70">
        <v>4.3499999999999996</v>
      </c>
      <c r="C25" s="70">
        <v>435.4</v>
      </c>
      <c r="D25" s="71" t="s">
        <v>494</v>
      </c>
      <c r="E25" s="72">
        <v>-1.73</v>
      </c>
      <c r="F25" s="70">
        <v>44.48</v>
      </c>
      <c r="G25" s="70">
        <v>3.16</v>
      </c>
      <c r="H25" s="70">
        <v>13.06</v>
      </c>
      <c r="I25" s="70">
        <v>4.82</v>
      </c>
      <c r="J25" s="70">
        <v>8.5</v>
      </c>
      <c r="K25" s="70">
        <v>12.9</v>
      </c>
      <c r="L25" s="70">
        <v>0.22</v>
      </c>
      <c r="M25" s="70">
        <v>5.77</v>
      </c>
      <c r="N25" s="70">
        <v>10.81</v>
      </c>
      <c r="O25" s="70">
        <v>3.83</v>
      </c>
      <c r="P25" s="70">
        <v>2.33</v>
      </c>
      <c r="Q25" s="70">
        <v>1.03</v>
      </c>
      <c r="R25" s="73">
        <v>2.0539999999999998</v>
      </c>
      <c r="S25" s="74">
        <v>3238.38</v>
      </c>
      <c r="T25" s="70">
        <v>2230.63</v>
      </c>
      <c r="U25" s="73">
        <v>0.223</v>
      </c>
      <c r="V25" s="70">
        <v>6044.04</v>
      </c>
      <c r="W25" s="73">
        <v>0.60399999999999998</v>
      </c>
      <c r="X25" s="70">
        <v>943.2</v>
      </c>
      <c r="Y25" s="73">
        <v>9.4E-2</v>
      </c>
      <c r="Z25" s="73">
        <v>86.411000000000001</v>
      </c>
      <c r="AA25" s="73">
        <v>5.5E-2</v>
      </c>
      <c r="AB25" s="70">
        <v>41.4</v>
      </c>
      <c r="AC25" s="73">
        <v>146.625</v>
      </c>
      <c r="AD25" s="73">
        <v>74.236000000000004</v>
      </c>
      <c r="AE25" s="70">
        <v>98</v>
      </c>
      <c r="AF25" s="70">
        <v>101.2</v>
      </c>
      <c r="AG25" s="72">
        <v>0.64</v>
      </c>
    </row>
    <row r="26" spans="1:33" ht="16" x14ac:dyDescent="0.2">
      <c r="A26" s="69" t="s">
        <v>470</v>
      </c>
      <c r="B26" s="70">
        <v>4.3600000000000003</v>
      </c>
      <c r="C26" s="70">
        <v>436.1</v>
      </c>
      <c r="D26" s="71" t="s">
        <v>495</v>
      </c>
      <c r="E26" s="72">
        <v>-1.72</v>
      </c>
      <c r="F26" s="70">
        <v>43.65</v>
      </c>
      <c r="G26" s="70">
        <v>3.49</v>
      </c>
      <c r="H26" s="70">
        <v>13.51</v>
      </c>
      <c r="I26" s="70">
        <v>4.7300000000000004</v>
      </c>
      <c r="J26" s="70">
        <v>8.6</v>
      </c>
      <c r="K26" s="70">
        <v>12.9</v>
      </c>
      <c r="L26" s="70">
        <v>0.21</v>
      </c>
      <c r="M26" s="70">
        <v>5.75</v>
      </c>
      <c r="N26" s="70">
        <v>11.24</v>
      </c>
      <c r="O26" s="70">
        <v>3.44</v>
      </c>
      <c r="P26" s="70">
        <v>2.2599999999999998</v>
      </c>
      <c r="Q26" s="70">
        <v>0.91</v>
      </c>
      <c r="R26" s="73">
        <v>2.298</v>
      </c>
      <c r="S26" s="74">
        <v>9022.52</v>
      </c>
      <c r="T26" s="70">
        <v>2020.59</v>
      </c>
      <c r="U26" s="73">
        <v>0.20200000000000001</v>
      </c>
      <c r="V26" s="70">
        <v>4685.96</v>
      </c>
      <c r="W26" s="73">
        <v>0.46899999999999997</v>
      </c>
      <c r="X26" s="70">
        <v>834.28</v>
      </c>
      <c r="Y26" s="73">
        <v>8.3000000000000004E-2</v>
      </c>
      <c r="Z26" s="73">
        <v>143.64699999999999</v>
      </c>
      <c r="AA26" s="73">
        <v>6.3E-2</v>
      </c>
      <c r="AB26" s="70">
        <v>40.049999999999997</v>
      </c>
      <c r="AC26" s="73">
        <v>106.01900000000001</v>
      </c>
      <c r="AD26" s="73">
        <v>63.89</v>
      </c>
      <c r="AE26" s="70">
        <v>97.8</v>
      </c>
      <c r="AF26" s="70">
        <v>101.1</v>
      </c>
      <c r="AG26" s="72">
        <v>0.86</v>
      </c>
    </row>
    <row r="27" spans="1:33" ht="16" x14ac:dyDescent="0.2">
      <c r="A27" s="69" t="s">
        <v>470</v>
      </c>
      <c r="B27" s="70">
        <v>4.38</v>
      </c>
      <c r="C27" s="70">
        <v>438.3</v>
      </c>
      <c r="D27" s="71" t="s">
        <v>496</v>
      </c>
      <c r="E27" s="72">
        <v>0.19</v>
      </c>
      <c r="F27" s="70">
        <v>46.87</v>
      </c>
      <c r="G27" s="70">
        <v>2.9</v>
      </c>
      <c r="H27" s="70">
        <v>14.24</v>
      </c>
      <c r="I27" s="70">
        <v>4.54</v>
      </c>
      <c r="J27" s="70">
        <v>8.8000000000000007</v>
      </c>
      <c r="K27" s="70">
        <v>12.9</v>
      </c>
      <c r="L27" s="70">
        <v>0.27</v>
      </c>
      <c r="M27" s="70">
        <v>5.33</v>
      </c>
      <c r="N27" s="70">
        <v>7.46</v>
      </c>
      <c r="O27" s="70">
        <v>4.74</v>
      </c>
      <c r="P27" s="70">
        <v>2.7</v>
      </c>
      <c r="Q27" s="70">
        <v>1.17</v>
      </c>
      <c r="R27" s="73">
        <v>1.0660000000000001</v>
      </c>
      <c r="S27" s="74">
        <v>8370.16</v>
      </c>
      <c r="T27" s="70">
        <v>2036.93</v>
      </c>
      <c r="U27" s="73">
        <v>0.20399999999999999</v>
      </c>
      <c r="V27" s="70">
        <v>4751.47</v>
      </c>
      <c r="W27" s="73">
        <v>0.47499999999999998</v>
      </c>
      <c r="X27" s="70">
        <v>1135.24</v>
      </c>
      <c r="Y27" s="73">
        <v>0.114</v>
      </c>
      <c r="Z27" s="73">
        <v>63.396000000000001</v>
      </c>
      <c r="AA27" s="73">
        <v>3.2000000000000001E-2</v>
      </c>
      <c r="AB27" s="70">
        <v>41.4</v>
      </c>
      <c r="AC27" s="73">
        <v>116.181</v>
      </c>
      <c r="AD27" s="73">
        <v>94.998999999999995</v>
      </c>
      <c r="AE27" s="70">
        <v>99</v>
      </c>
      <c r="AF27" s="70">
        <v>101</v>
      </c>
      <c r="AG27" s="72">
        <v>0.72</v>
      </c>
    </row>
    <row r="28" spans="1:33" ht="16" x14ac:dyDescent="0.2">
      <c r="A28" s="69" t="s">
        <v>470</v>
      </c>
      <c r="B28" s="70">
        <v>4.41</v>
      </c>
      <c r="C28" s="70">
        <v>441.1</v>
      </c>
      <c r="D28" s="71" t="s">
        <v>497</v>
      </c>
      <c r="E28" s="72">
        <v>6.83</v>
      </c>
      <c r="F28" s="70">
        <v>45.18</v>
      </c>
      <c r="G28" s="70">
        <v>2.4700000000000002</v>
      </c>
      <c r="H28" s="70">
        <v>15.52</v>
      </c>
      <c r="I28" s="70">
        <v>4.54</v>
      </c>
      <c r="J28" s="70">
        <v>8.8000000000000007</v>
      </c>
      <c r="K28" s="70">
        <v>12.9</v>
      </c>
      <c r="L28" s="70">
        <v>0.2</v>
      </c>
      <c r="M28" s="70">
        <v>6.09</v>
      </c>
      <c r="N28" s="70">
        <v>6.51</v>
      </c>
      <c r="O28" s="70">
        <v>5.15</v>
      </c>
      <c r="P28" s="70">
        <v>3.02</v>
      </c>
      <c r="Q28" s="70">
        <v>1.24</v>
      </c>
      <c r="R28" s="73">
        <v>1.25</v>
      </c>
      <c r="S28" s="74">
        <v>1707.71</v>
      </c>
      <c r="T28" s="70">
        <v>2791.95</v>
      </c>
      <c r="U28" s="73">
        <v>0.27900000000000003</v>
      </c>
      <c r="V28" s="70">
        <v>2884.71</v>
      </c>
      <c r="W28" s="73">
        <v>0.28799999999999998</v>
      </c>
      <c r="X28" s="70">
        <v>1050.51</v>
      </c>
      <c r="Y28" s="73">
        <v>0.105</v>
      </c>
      <c r="Z28" s="73">
        <v>224.94300000000001</v>
      </c>
      <c r="AA28" s="73">
        <v>5.5E-2</v>
      </c>
      <c r="AB28" s="70">
        <v>115.05</v>
      </c>
      <c r="AC28" s="73">
        <v>98.457999999999998</v>
      </c>
      <c r="AD28" s="73">
        <v>94.412000000000006</v>
      </c>
      <c r="AE28" s="70">
        <v>98.7</v>
      </c>
      <c r="AF28" s="70">
        <v>100.8</v>
      </c>
      <c r="AG28" s="72">
        <v>0.72</v>
      </c>
    </row>
    <row r="29" spans="1:33" ht="16" x14ac:dyDescent="0.2">
      <c r="A29" s="69" t="s">
        <v>470</v>
      </c>
      <c r="B29" s="70">
        <v>4.42</v>
      </c>
      <c r="C29" s="70">
        <v>442.1</v>
      </c>
      <c r="D29" s="71" t="s">
        <v>498</v>
      </c>
      <c r="E29" s="72">
        <v>2.29</v>
      </c>
      <c r="F29" s="70">
        <v>42.59</v>
      </c>
      <c r="G29" s="70">
        <v>3.56</v>
      </c>
      <c r="H29" s="70">
        <v>13.21</v>
      </c>
      <c r="I29" s="70">
        <v>4.87</v>
      </c>
      <c r="J29" s="70">
        <v>8.5</v>
      </c>
      <c r="K29" s="70">
        <v>12.9</v>
      </c>
      <c r="L29" s="70">
        <v>0.18</v>
      </c>
      <c r="M29" s="70">
        <v>6.8</v>
      </c>
      <c r="N29" s="70">
        <v>11.96</v>
      </c>
      <c r="O29" s="70">
        <v>3.41</v>
      </c>
      <c r="P29" s="70">
        <v>2.13</v>
      </c>
      <c r="Q29" s="70">
        <v>0.85</v>
      </c>
      <c r="R29" s="73">
        <v>2.0150000000000001</v>
      </c>
      <c r="S29" s="74">
        <v>10427.66</v>
      </c>
      <c r="T29" s="70">
        <v>2003.82</v>
      </c>
      <c r="U29" s="73">
        <v>0.2</v>
      </c>
      <c r="V29" s="70">
        <v>4648.41</v>
      </c>
      <c r="W29" s="73">
        <v>0.46500000000000002</v>
      </c>
      <c r="X29" s="70">
        <v>907.56</v>
      </c>
      <c r="Y29" s="73">
        <v>9.0999999999999998E-2</v>
      </c>
      <c r="Z29" s="73">
        <v>191.83199999999999</v>
      </c>
      <c r="AA29" s="73">
        <v>7.1999999999999995E-2</v>
      </c>
      <c r="AB29" s="70">
        <v>53</v>
      </c>
      <c r="AC29" s="73">
        <v>131.04599999999999</v>
      </c>
      <c r="AD29" s="73">
        <v>74.957999999999998</v>
      </c>
      <c r="AE29" s="70">
        <v>98.1</v>
      </c>
      <c r="AF29" s="70">
        <v>101.2</v>
      </c>
      <c r="AG29" s="72">
        <v>0.72</v>
      </c>
    </row>
    <row r="30" spans="1:33" ht="16" x14ac:dyDescent="0.2">
      <c r="A30" s="69" t="s">
        <v>470</v>
      </c>
      <c r="B30" s="70">
        <v>4.4400000000000004</v>
      </c>
      <c r="C30" s="70">
        <v>444.2</v>
      </c>
      <c r="D30" s="71" t="s">
        <v>499</v>
      </c>
      <c r="E30" s="72">
        <v>0.45</v>
      </c>
      <c r="F30" s="70">
        <v>41.7</v>
      </c>
      <c r="G30" s="70">
        <v>3.73</v>
      </c>
      <c r="H30" s="70">
        <v>13.5</v>
      </c>
      <c r="I30" s="70">
        <v>4.8899999999999997</v>
      </c>
      <c r="J30" s="70">
        <v>8.5</v>
      </c>
      <c r="K30" s="70">
        <v>12.9</v>
      </c>
      <c r="L30" s="70">
        <v>0.22</v>
      </c>
      <c r="M30" s="70">
        <v>6.62</v>
      </c>
      <c r="N30" s="70">
        <v>11.9</v>
      </c>
      <c r="O30" s="70">
        <v>3.49</v>
      </c>
      <c r="P30" s="70">
        <v>2.21</v>
      </c>
      <c r="Q30" s="70">
        <v>0.9</v>
      </c>
      <c r="R30" s="73">
        <v>2.4020000000000001</v>
      </c>
      <c r="S30" s="74">
        <v>8367.84</v>
      </c>
      <c r="T30" s="70">
        <v>1940.4</v>
      </c>
      <c r="U30" s="73">
        <v>0.19400000000000001</v>
      </c>
      <c r="V30" s="70">
        <v>4344.84</v>
      </c>
      <c r="W30" s="73">
        <v>0.434</v>
      </c>
      <c r="X30" s="70">
        <v>790.75</v>
      </c>
      <c r="Y30" s="73">
        <v>7.9000000000000001E-2</v>
      </c>
      <c r="Z30" s="73">
        <v>244.14500000000001</v>
      </c>
      <c r="AA30" s="73">
        <v>6.7000000000000004E-2</v>
      </c>
      <c r="AB30" s="70">
        <v>40.549999999999997</v>
      </c>
      <c r="AC30" s="73">
        <v>100.035</v>
      </c>
      <c r="AD30" s="73">
        <v>61.332000000000001</v>
      </c>
      <c r="AE30" s="70">
        <v>97.6</v>
      </c>
      <c r="AF30" s="70">
        <v>101.2</v>
      </c>
      <c r="AG30" s="72">
        <v>0.89</v>
      </c>
    </row>
    <row r="31" spans="1:33" ht="16" x14ac:dyDescent="0.2">
      <c r="A31" s="69" t="s">
        <v>470</v>
      </c>
      <c r="B31" s="70">
        <v>4.45</v>
      </c>
      <c r="C31" s="70">
        <v>445.5</v>
      </c>
      <c r="D31" s="71" t="s">
        <v>500</v>
      </c>
      <c r="E31" s="72">
        <v>7.79</v>
      </c>
      <c r="F31" s="70">
        <v>43.05</v>
      </c>
      <c r="G31" s="70">
        <v>3.4</v>
      </c>
      <c r="H31" s="70">
        <v>13.64</v>
      </c>
      <c r="I31" s="70">
        <v>4.92</v>
      </c>
      <c r="J31" s="70">
        <v>8.5</v>
      </c>
      <c r="K31" s="70">
        <v>12.9</v>
      </c>
      <c r="L31" s="70">
        <v>0.19</v>
      </c>
      <c r="M31" s="70">
        <v>6.77</v>
      </c>
      <c r="N31" s="70">
        <v>11.73</v>
      </c>
      <c r="O31" s="70">
        <v>3.99</v>
      </c>
      <c r="P31" s="70">
        <v>1.92</v>
      </c>
      <c r="Q31" s="70">
        <v>0.28999999999999998</v>
      </c>
      <c r="R31" s="73">
        <v>1.6950000000000001</v>
      </c>
      <c r="S31" s="74">
        <v>12302.22</v>
      </c>
      <c r="T31" s="70">
        <v>1927.77</v>
      </c>
      <c r="U31" s="73">
        <v>0.193</v>
      </c>
      <c r="V31" s="70">
        <v>4132.92</v>
      </c>
      <c r="W31" s="73">
        <v>0.41299999999999998</v>
      </c>
      <c r="X31" s="71"/>
      <c r="Y31" s="75"/>
      <c r="Z31" s="73">
        <v>853.17499999999995</v>
      </c>
      <c r="AA31" s="73">
        <v>0.157</v>
      </c>
      <c r="AB31" s="70">
        <v>177.63</v>
      </c>
      <c r="AC31" s="73">
        <v>382.113</v>
      </c>
      <c r="AD31" s="75"/>
      <c r="AE31" s="70">
        <v>98.4</v>
      </c>
      <c r="AF31" s="70">
        <v>101.4</v>
      </c>
      <c r="AG31" s="72">
        <v>0.72</v>
      </c>
    </row>
    <row r="32" spans="1:33" ht="16" x14ac:dyDescent="0.2">
      <c r="A32" s="69" t="s">
        <v>470</v>
      </c>
      <c r="B32" s="70">
        <v>4.47</v>
      </c>
      <c r="C32" s="70">
        <v>447.2</v>
      </c>
      <c r="D32" s="71" t="s">
        <v>501</v>
      </c>
      <c r="E32" s="72">
        <v>3.77</v>
      </c>
      <c r="F32" s="70">
        <v>41.8</v>
      </c>
      <c r="G32" s="70">
        <v>3.49</v>
      </c>
      <c r="H32" s="70">
        <v>14.23</v>
      </c>
      <c r="I32" s="70">
        <v>4.91</v>
      </c>
      <c r="J32" s="70">
        <v>8.5</v>
      </c>
      <c r="K32" s="70">
        <v>12.9</v>
      </c>
      <c r="L32" s="70">
        <v>0.17</v>
      </c>
      <c r="M32" s="70">
        <v>6.79</v>
      </c>
      <c r="N32" s="70">
        <v>11.63</v>
      </c>
      <c r="O32" s="70">
        <v>3.91</v>
      </c>
      <c r="P32" s="70">
        <v>2.2799999999999998</v>
      </c>
      <c r="Q32" s="70">
        <v>0.88</v>
      </c>
      <c r="R32" s="73">
        <v>1.522</v>
      </c>
      <c r="S32" s="74">
        <v>8575.3799999999992</v>
      </c>
      <c r="T32" s="70">
        <v>1933.97</v>
      </c>
      <c r="U32" s="73">
        <v>0.193</v>
      </c>
      <c r="V32" s="70">
        <v>4279.71</v>
      </c>
      <c r="W32" s="73">
        <v>0.42799999999999999</v>
      </c>
      <c r="X32" s="70">
        <v>765.3</v>
      </c>
      <c r="Y32" s="73">
        <v>7.6999999999999999E-2</v>
      </c>
      <c r="Z32" s="73">
        <v>234.376</v>
      </c>
      <c r="AA32" s="73">
        <v>4.8000000000000001E-2</v>
      </c>
      <c r="AB32" s="70">
        <v>43.59</v>
      </c>
      <c r="AC32" s="73">
        <v>105.515</v>
      </c>
      <c r="AD32" s="73">
        <v>62.201999999999998</v>
      </c>
      <c r="AE32" s="70">
        <v>98.6</v>
      </c>
      <c r="AF32" s="70">
        <v>101.2</v>
      </c>
      <c r="AG32" s="72">
        <v>0.72</v>
      </c>
    </row>
    <row r="33" spans="1:33" ht="16" x14ac:dyDescent="0.2">
      <c r="A33" s="69" t="s">
        <v>470</v>
      </c>
      <c r="B33" s="70">
        <v>4.47</v>
      </c>
      <c r="C33" s="70">
        <v>447.3</v>
      </c>
      <c r="D33" s="71" t="s">
        <v>502</v>
      </c>
      <c r="E33" s="72">
        <v>3.47</v>
      </c>
      <c r="F33" s="70">
        <v>41.79</v>
      </c>
      <c r="G33" s="70">
        <v>3.76</v>
      </c>
      <c r="H33" s="70">
        <v>13.92</v>
      </c>
      <c r="I33" s="70">
        <v>5.09</v>
      </c>
      <c r="J33" s="70">
        <v>8.4</v>
      </c>
      <c r="K33" s="70">
        <v>13</v>
      </c>
      <c r="L33" s="70">
        <v>0.14000000000000001</v>
      </c>
      <c r="M33" s="70">
        <v>5.68</v>
      </c>
      <c r="N33" s="70">
        <v>12.74</v>
      </c>
      <c r="O33" s="70">
        <v>3.84</v>
      </c>
      <c r="P33" s="70">
        <v>2.31</v>
      </c>
      <c r="Q33" s="70">
        <v>0.94</v>
      </c>
      <c r="R33" s="73">
        <v>1.57</v>
      </c>
      <c r="S33" s="74">
        <v>7016.66</v>
      </c>
      <c r="T33" s="70">
        <v>1834.04</v>
      </c>
      <c r="U33" s="73">
        <v>0.183</v>
      </c>
      <c r="V33" s="70">
        <v>3969.15</v>
      </c>
      <c r="W33" s="73">
        <v>0.39700000000000002</v>
      </c>
      <c r="X33" s="70">
        <v>726.4</v>
      </c>
      <c r="Y33" s="73">
        <v>7.2999999999999995E-2</v>
      </c>
      <c r="Z33" s="73">
        <v>284.14999999999998</v>
      </c>
      <c r="AA33" s="73">
        <v>5.8000000000000003E-2</v>
      </c>
      <c r="AB33" s="70">
        <v>57.68</v>
      </c>
      <c r="AC33" s="73">
        <v>156.43199999999999</v>
      </c>
      <c r="AD33" s="73">
        <v>60.154000000000003</v>
      </c>
      <c r="AE33" s="70">
        <v>98.7</v>
      </c>
      <c r="AF33" s="70">
        <v>101.3</v>
      </c>
      <c r="AG33" s="72">
        <v>0.72</v>
      </c>
    </row>
    <row r="34" spans="1:33" ht="16" x14ac:dyDescent="0.2">
      <c r="A34" s="69" t="s">
        <v>470</v>
      </c>
      <c r="B34" s="70">
        <v>4.4800000000000004</v>
      </c>
      <c r="C34" s="70">
        <v>448.2</v>
      </c>
      <c r="D34" s="71" t="s">
        <v>503</v>
      </c>
      <c r="E34" s="72">
        <v>2.74</v>
      </c>
      <c r="F34" s="70">
        <v>44.86</v>
      </c>
      <c r="G34" s="70">
        <v>3.18</v>
      </c>
      <c r="H34" s="70">
        <v>14.27</v>
      </c>
      <c r="I34" s="70">
        <v>4.6500000000000004</v>
      </c>
      <c r="J34" s="70">
        <v>8.6999999999999993</v>
      </c>
      <c r="K34" s="70">
        <v>12.9</v>
      </c>
      <c r="L34" s="70">
        <v>0.22</v>
      </c>
      <c r="M34" s="70">
        <v>5.59</v>
      </c>
      <c r="N34" s="70">
        <v>9.5299999999999994</v>
      </c>
      <c r="O34" s="70">
        <v>4.38</v>
      </c>
      <c r="P34" s="70">
        <v>2.11</v>
      </c>
      <c r="Q34" s="70">
        <v>0.72</v>
      </c>
      <c r="R34" s="73">
        <v>1.766</v>
      </c>
      <c r="S34" s="74">
        <v>8446.68</v>
      </c>
      <c r="T34" s="70">
        <v>2366.1</v>
      </c>
      <c r="U34" s="73">
        <v>0.23699999999999999</v>
      </c>
      <c r="V34" s="70">
        <v>3478.36</v>
      </c>
      <c r="W34" s="73">
        <v>0.34799999999999998</v>
      </c>
      <c r="X34" s="70">
        <v>775.49</v>
      </c>
      <c r="Y34" s="73">
        <v>7.8E-2</v>
      </c>
      <c r="Z34" s="73">
        <v>116.354</v>
      </c>
      <c r="AA34" s="73">
        <v>8.3000000000000004E-2</v>
      </c>
      <c r="AB34" s="70">
        <v>67.19</v>
      </c>
      <c r="AC34" s="73">
        <v>98.738</v>
      </c>
      <c r="AD34" s="73">
        <v>63.531999999999996</v>
      </c>
      <c r="AE34" s="70">
        <v>98.2</v>
      </c>
      <c r="AF34" s="70">
        <v>100.8</v>
      </c>
      <c r="AG34" s="72">
        <v>0.72</v>
      </c>
    </row>
    <row r="35" spans="1:33" ht="16" x14ac:dyDescent="0.2">
      <c r="A35" s="69" t="s">
        <v>470</v>
      </c>
      <c r="B35" s="70">
        <v>4.4800000000000004</v>
      </c>
      <c r="C35" s="70">
        <v>448.3</v>
      </c>
      <c r="D35" s="71" t="s">
        <v>504</v>
      </c>
      <c r="E35" s="72">
        <v>6.85</v>
      </c>
      <c r="F35" s="70">
        <v>45.47</v>
      </c>
      <c r="G35" s="70">
        <v>2.4300000000000002</v>
      </c>
      <c r="H35" s="70">
        <v>15.08</v>
      </c>
      <c r="I35" s="70">
        <v>4.5</v>
      </c>
      <c r="J35" s="70">
        <v>8.8000000000000007</v>
      </c>
      <c r="K35" s="70">
        <v>12.9</v>
      </c>
      <c r="L35" s="70">
        <v>0.23</v>
      </c>
      <c r="M35" s="70">
        <v>6.31</v>
      </c>
      <c r="N35" s="70">
        <v>7.46</v>
      </c>
      <c r="O35" s="70">
        <v>4.6100000000000003</v>
      </c>
      <c r="P35" s="70">
        <v>2.74</v>
      </c>
      <c r="Q35" s="70">
        <v>1.19</v>
      </c>
      <c r="R35" s="73">
        <v>1.135</v>
      </c>
      <c r="S35" s="74">
        <v>6855.99</v>
      </c>
      <c r="T35" s="70">
        <v>1666.42</v>
      </c>
      <c r="U35" s="73">
        <v>0.16700000000000001</v>
      </c>
      <c r="V35" s="70">
        <v>3985.91</v>
      </c>
      <c r="W35" s="73">
        <v>0.39900000000000002</v>
      </c>
      <c r="X35" s="70">
        <v>916.73</v>
      </c>
      <c r="Y35" s="73">
        <v>9.1999999999999998E-2</v>
      </c>
      <c r="Z35" s="73">
        <v>88.11</v>
      </c>
      <c r="AA35" s="73">
        <v>4.3999999999999997E-2</v>
      </c>
      <c r="AB35" s="70">
        <v>56.1</v>
      </c>
      <c r="AC35" s="73">
        <v>119.18</v>
      </c>
      <c r="AD35" s="73">
        <v>80.366</v>
      </c>
      <c r="AE35" s="70">
        <v>98.9</v>
      </c>
      <c r="AF35" s="70">
        <v>100.8</v>
      </c>
      <c r="AG35" s="72">
        <v>0.72</v>
      </c>
    </row>
    <row r="36" spans="1:33" ht="16" x14ac:dyDescent="0.2">
      <c r="A36" s="69" t="s">
        <v>470</v>
      </c>
      <c r="B36" s="70">
        <v>4.5</v>
      </c>
      <c r="C36" s="70">
        <v>450.2</v>
      </c>
      <c r="D36" s="71" t="s">
        <v>505</v>
      </c>
      <c r="E36" s="72">
        <v>-1.53</v>
      </c>
      <c r="F36" s="70">
        <v>43.48</v>
      </c>
      <c r="G36" s="70">
        <v>3.44</v>
      </c>
      <c r="H36" s="70">
        <v>14.15</v>
      </c>
      <c r="I36" s="70">
        <v>4.5999999999999996</v>
      </c>
      <c r="J36" s="70">
        <v>8.6999999999999993</v>
      </c>
      <c r="K36" s="70">
        <v>12.9</v>
      </c>
      <c r="L36" s="70">
        <v>0.22</v>
      </c>
      <c r="M36" s="70">
        <v>6.78</v>
      </c>
      <c r="N36" s="70">
        <v>10.19</v>
      </c>
      <c r="O36" s="70">
        <v>3.31</v>
      </c>
      <c r="P36" s="70">
        <v>2.66</v>
      </c>
      <c r="Q36" s="70">
        <v>1.1499999999999999</v>
      </c>
      <c r="R36" s="73">
        <v>1.375</v>
      </c>
      <c r="S36" s="74">
        <v>3205.93</v>
      </c>
      <c r="T36" s="70">
        <v>1462.69</v>
      </c>
      <c r="U36" s="73">
        <v>0.14599999999999999</v>
      </c>
      <c r="V36" s="70">
        <v>4319.84</v>
      </c>
      <c r="W36" s="73">
        <v>0.432</v>
      </c>
      <c r="X36" s="70">
        <v>355.14</v>
      </c>
      <c r="Y36" s="73">
        <v>3.5999999999999997E-2</v>
      </c>
      <c r="Z36" s="73">
        <v>159.81899999999999</v>
      </c>
      <c r="AA36" s="73">
        <v>7.3999999999999996E-2</v>
      </c>
      <c r="AB36" s="70">
        <v>81.45</v>
      </c>
      <c r="AC36" s="73">
        <v>206.65</v>
      </c>
      <c r="AD36" s="73">
        <v>30.925999999999998</v>
      </c>
      <c r="AE36" s="70">
        <v>98.7</v>
      </c>
      <c r="AF36" s="70">
        <v>100.9</v>
      </c>
      <c r="AG36" s="72">
        <v>0.78</v>
      </c>
    </row>
    <row r="37" spans="1:33" ht="16" x14ac:dyDescent="0.2">
      <c r="A37" s="69" t="s">
        <v>470</v>
      </c>
      <c r="B37" s="70">
        <v>4.51</v>
      </c>
      <c r="C37" s="70">
        <v>451.1</v>
      </c>
      <c r="D37" s="71" t="s">
        <v>506</v>
      </c>
      <c r="E37" s="72">
        <v>7.98</v>
      </c>
      <c r="F37" s="70">
        <v>43.33</v>
      </c>
      <c r="G37" s="70">
        <v>3.33</v>
      </c>
      <c r="H37" s="70">
        <v>13.94</v>
      </c>
      <c r="I37" s="70">
        <v>4.72</v>
      </c>
      <c r="J37" s="70">
        <v>8.6999999999999993</v>
      </c>
      <c r="K37" s="70">
        <v>12.9</v>
      </c>
      <c r="L37" s="70">
        <v>0.14000000000000001</v>
      </c>
      <c r="M37" s="70">
        <v>7</v>
      </c>
      <c r="N37" s="70">
        <v>11.26</v>
      </c>
      <c r="O37" s="70">
        <v>3.4</v>
      </c>
      <c r="P37" s="70">
        <v>2.21</v>
      </c>
      <c r="Q37" s="70">
        <v>0.79</v>
      </c>
      <c r="R37" s="73">
        <v>1.319</v>
      </c>
      <c r="S37" s="74">
        <v>6899.22</v>
      </c>
      <c r="T37" s="70">
        <v>1327.1</v>
      </c>
      <c r="U37" s="73">
        <v>0.13300000000000001</v>
      </c>
      <c r="V37" s="70">
        <v>2858.16</v>
      </c>
      <c r="W37" s="73">
        <v>0.28599999999999998</v>
      </c>
      <c r="X37" s="70">
        <v>524.46</v>
      </c>
      <c r="Y37" s="73">
        <v>5.1999999999999998E-2</v>
      </c>
      <c r="Z37" s="73">
        <v>150.57599999999999</v>
      </c>
      <c r="AA37" s="73">
        <v>4.7E-2</v>
      </c>
      <c r="AB37" s="70">
        <v>47.89</v>
      </c>
      <c r="AC37" s="73">
        <v>78.974999999999994</v>
      </c>
      <c r="AD37" s="73">
        <v>44.667000000000002</v>
      </c>
      <c r="AE37" s="70">
        <v>98.8</v>
      </c>
      <c r="AF37" s="70">
        <v>100.8</v>
      </c>
      <c r="AG37" s="72">
        <v>0.72</v>
      </c>
    </row>
    <row r="38" spans="1:33" ht="16" x14ac:dyDescent="0.2">
      <c r="A38" s="69" t="s">
        <v>470</v>
      </c>
      <c r="B38" s="70">
        <v>4.5199999999999996</v>
      </c>
      <c r="C38" s="70">
        <v>452.1</v>
      </c>
      <c r="D38" s="71" t="s">
        <v>507</v>
      </c>
      <c r="E38" s="72">
        <v>6.4</v>
      </c>
      <c r="F38" s="70">
        <v>42.66</v>
      </c>
      <c r="G38" s="70">
        <v>3.54</v>
      </c>
      <c r="H38" s="70">
        <v>14.04</v>
      </c>
      <c r="I38" s="70">
        <v>4.82</v>
      </c>
      <c r="J38" s="70">
        <v>8.6</v>
      </c>
      <c r="K38" s="70">
        <v>12.9</v>
      </c>
      <c r="L38" s="70">
        <v>0.15</v>
      </c>
      <c r="M38" s="70">
        <v>6.54</v>
      </c>
      <c r="N38" s="70">
        <v>11.68</v>
      </c>
      <c r="O38" s="70">
        <v>3.55</v>
      </c>
      <c r="P38" s="70">
        <v>2.3199999999999998</v>
      </c>
      <c r="Q38" s="70">
        <v>0.84</v>
      </c>
      <c r="R38" s="73">
        <v>1.345</v>
      </c>
      <c r="S38" s="74">
        <v>5784.9</v>
      </c>
      <c r="T38" s="70">
        <v>1434.69</v>
      </c>
      <c r="U38" s="73">
        <v>0.14299999999999999</v>
      </c>
      <c r="V38" s="70">
        <v>3176.07</v>
      </c>
      <c r="W38" s="73">
        <v>0.318</v>
      </c>
      <c r="X38" s="70">
        <v>608.26</v>
      </c>
      <c r="Y38" s="73">
        <v>6.0999999999999999E-2</v>
      </c>
      <c r="Z38" s="73">
        <v>165.78399999999999</v>
      </c>
      <c r="AA38" s="73">
        <v>4.3999999999999997E-2</v>
      </c>
      <c r="AB38" s="70">
        <v>48.13</v>
      </c>
      <c r="AC38" s="73">
        <v>86.826999999999998</v>
      </c>
      <c r="AD38" s="73">
        <v>50.04</v>
      </c>
      <c r="AE38" s="70">
        <v>98.7</v>
      </c>
      <c r="AF38" s="70">
        <v>100.8</v>
      </c>
      <c r="AG38" s="72">
        <v>0.71</v>
      </c>
    </row>
    <row r="39" spans="1:33" ht="16" x14ac:dyDescent="0.2">
      <c r="A39" s="69" t="s">
        <v>470</v>
      </c>
      <c r="B39" s="70">
        <v>4.53</v>
      </c>
      <c r="C39" s="70">
        <v>453.1</v>
      </c>
      <c r="D39" s="71" t="s">
        <v>508</v>
      </c>
      <c r="E39" s="72">
        <v>4.41</v>
      </c>
      <c r="F39" s="70">
        <v>42.04</v>
      </c>
      <c r="G39" s="70">
        <v>3.47</v>
      </c>
      <c r="H39" s="70">
        <v>14.26</v>
      </c>
      <c r="I39" s="70">
        <v>4.92</v>
      </c>
      <c r="J39" s="70">
        <v>8.5</v>
      </c>
      <c r="K39" s="70">
        <v>12.9</v>
      </c>
      <c r="L39" s="70">
        <v>0.18</v>
      </c>
      <c r="M39" s="70">
        <v>5.84</v>
      </c>
      <c r="N39" s="70">
        <v>11.76</v>
      </c>
      <c r="O39" s="70">
        <v>3.87</v>
      </c>
      <c r="P39" s="70">
        <v>2.41</v>
      </c>
      <c r="Q39" s="70">
        <v>0.96</v>
      </c>
      <c r="R39" s="73">
        <v>1.921</v>
      </c>
      <c r="S39" s="74">
        <v>6258.24</v>
      </c>
      <c r="T39" s="70">
        <v>1859.25</v>
      </c>
      <c r="U39" s="73">
        <v>0.186</v>
      </c>
      <c r="V39" s="70">
        <v>4219.1499999999996</v>
      </c>
      <c r="W39" s="73">
        <v>0.42199999999999999</v>
      </c>
      <c r="X39" s="70">
        <v>807.55</v>
      </c>
      <c r="Y39" s="73">
        <v>8.1000000000000003E-2</v>
      </c>
      <c r="Z39" s="73">
        <v>221.49199999999999</v>
      </c>
      <c r="AA39" s="73">
        <v>5.6000000000000001E-2</v>
      </c>
      <c r="AB39" s="70">
        <v>35.83</v>
      </c>
      <c r="AC39" s="73">
        <v>111.155</v>
      </c>
      <c r="AD39" s="73">
        <v>65.349000000000004</v>
      </c>
      <c r="AE39" s="70">
        <v>98.2</v>
      </c>
      <c r="AF39" s="70">
        <v>101.2</v>
      </c>
      <c r="AG39" s="72">
        <v>0.72</v>
      </c>
    </row>
    <row r="40" spans="1:33" ht="16" x14ac:dyDescent="0.2">
      <c r="A40" s="69" t="s">
        <v>470</v>
      </c>
      <c r="B40" s="70">
        <v>4.54</v>
      </c>
      <c r="C40" s="70">
        <v>454.1</v>
      </c>
      <c r="D40" s="71" t="s">
        <v>509</v>
      </c>
      <c r="E40" s="72">
        <v>8.02</v>
      </c>
      <c r="F40" s="70">
        <v>42.6</v>
      </c>
      <c r="G40" s="70">
        <v>3.38</v>
      </c>
      <c r="H40" s="70">
        <v>13.82</v>
      </c>
      <c r="I40" s="70">
        <v>4.82</v>
      </c>
      <c r="J40" s="70">
        <v>8.6</v>
      </c>
      <c r="K40" s="70">
        <v>12.9</v>
      </c>
      <c r="L40" s="70">
        <v>0.17</v>
      </c>
      <c r="M40" s="70">
        <v>6.86</v>
      </c>
      <c r="N40" s="70">
        <v>11.69</v>
      </c>
      <c r="O40" s="70">
        <v>3.45</v>
      </c>
      <c r="P40" s="70">
        <v>2.2799999999999998</v>
      </c>
      <c r="Q40" s="70">
        <v>0.9</v>
      </c>
      <c r="R40" s="73">
        <v>1.585</v>
      </c>
      <c r="S40" s="74">
        <v>6313.36</v>
      </c>
      <c r="T40" s="70">
        <v>1843.92</v>
      </c>
      <c r="U40" s="73">
        <v>0.184</v>
      </c>
      <c r="V40" s="70">
        <v>4035.27</v>
      </c>
      <c r="W40" s="73">
        <v>0.40400000000000003</v>
      </c>
      <c r="X40" s="70">
        <v>721.63</v>
      </c>
      <c r="Y40" s="73">
        <v>7.1999999999999995E-2</v>
      </c>
      <c r="Z40" s="73">
        <v>226.13300000000001</v>
      </c>
      <c r="AA40" s="73">
        <v>5.5E-2</v>
      </c>
      <c r="AB40" s="70">
        <v>46.36</v>
      </c>
      <c r="AC40" s="73">
        <v>103.69499999999999</v>
      </c>
      <c r="AD40" s="73">
        <v>61.436999999999998</v>
      </c>
      <c r="AE40" s="70">
        <v>98.5</v>
      </c>
      <c r="AF40" s="70">
        <v>101.1</v>
      </c>
      <c r="AG40" s="72">
        <v>0.89</v>
      </c>
    </row>
    <row r="41" spans="1:33" ht="16" x14ac:dyDescent="0.2">
      <c r="A41" s="69" t="s">
        <v>470</v>
      </c>
      <c r="B41" s="70">
        <v>4.57</v>
      </c>
      <c r="C41" s="70">
        <v>457.1</v>
      </c>
      <c r="D41" s="71" t="s">
        <v>510</v>
      </c>
      <c r="E41" s="72">
        <v>3.53</v>
      </c>
      <c r="F41" s="70">
        <v>44.1</v>
      </c>
      <c r="G41" s="70">
        <v>3.33</v>
      </c>
      <c r="H41" s="70">
        <v>13.43</v>
      </c>
      <c r="I41" s="70">
        <v>4.74</v>
      </c>
      <c r="J41" s="70">
        <v>8.6</v>
      </c>
      <c r="K41" s="70">
        <v>12.9</v>
      </c>
      <c r="L41" s="70">
        <v>0.17</v>
      </c>
      <c r="M41" s="70">
        <v>7.01</v>
      </c>
      <c r="N41" s="70">
        <v>11.44</v>
      </c>
      <c r="O41" s="70">
        <v>3.35</v>
      </c>
      <c r="P41" s="70">
        <v>2.19</v>
      </c>
      <c r="Q41" s="70">
        <v>0.79</v>
      </c>
      <c r="R41" s="73">
        <v>0.85399999999999998</v>
      </c>
      <c r="S41" s="74">
        <v>6193.04</v>
      </c>
      <c r="T41" s="70">
        <v>1055.6300000000001</v>
      </c>
      <c r="U41" s="73">
        <v>0.106</v>
      </c>
      <c r="V41" s="70">
        <v>2283.12</v>
      </c>
      <c r="W41" s="73">
        <v>0.22800000000000001</v>
      </c>
      <c r="X41" s="70">
        <v>421.26</v>
      </c>
      <c r="Y41" s="73">
        <v>4.2000000000000003E-2</v>
      </c>
      <c r="Z41" s="73">
        <v>97.628</v>
      </c>
      <c r="AA41" s="73">
        <v>0.03</v>
      </c>
      <c r="AB41" s="70">
        <v>33.81</v>
      </c>
      <c r="AC41" s="73">
        <v>74.194999999999993</v>
      </c>
      <c r="AD41" s="73">
        <v>35.351999999999997</v>
      </c>
      <c r="AE41" s="70">
        <v>99.2</v>
      </c>
      <c r="AF41" s="70">
        <v>100.6</v>
      </c>
      <c r="AG41" s="72">
        <v>0.79</v>
      </c>
    </row>
    <row r="42" spans="1:33" ht="16" x14ac:dyDescent="0.2">
      <c r="A42" s="69" t="s">
        <v>470</v>
      </c>
      <c r="B42" s="70">
        <v>4.58</v>
      </c>
      <c r="C42" s="70">
        <v>458.1</v>
      </c>
      <c r="D42" s="71" t="s">
        <v>511</v>
      </c>
      <c r="E42" s="72">
        <v>-1.74</v>
      </c>
      <c r="F42" s="70">
        <v>41.92</v>
      </c>
      <c r="G42" s="70">
        <v>3.85</v>
      </c>
      <c r="H42" s="70">
        <v>14.47</v>
      </c>
      <c r="I42" s="70">
        <v>4.9400000000000004</v>
      </c>
      <c r="J42" s="70">
        <v>8.4</v>
      </c>
      <c r="K42" s="70">
        <v>12.9</v>
      </c>
      <c r="L42" s="70">
        <v>0.18</v>
      </c>
      <c r="M42" s="70">
        <v>4.9800000000000004</v>
      </c>
      <c r="N42" s="70">
        <v>12.45</v>
      </c>
      <c r="O42" s="70">
        <v>3.92</v>
      </c>
      <c r="P42" s="70">
        <v>2.23</v>
      </c>
      <c r="Q42" s="70">
        <v>0.86</v>
      </c>
      <c r="R42" s="73">
        <v>1.8759999999999999</v>
      </c>
      <c r="S42" s="74">
        <v>7402.84</v>
      </c>
      <c r="T42" s="70">
        <v>2059.52</v>
      </c>
      <c r="U42" s="73">
        <v>0.20599999999999999</v>
      </c>
      <c r="V42" s="70">
        <v>4387.1499999999996</v>
      </c>
      <c r="W42" s="73">
        <v>0.439</v>
      </c>
      <c r="X42" s="70">
        <v>837.25</v>
      </c>
      <c r="Y42" s="73">
        <v>8.4000000000000005E-2</v>
      </c>
      <c r="Z42" s="73">
        <v>217.011</v>
      </c>
      <c r="AA42" s="73">
        <v>5.2999999999999999E-2</v>
      </c>
      <c r="AB42" s="70">
        <v>44.94</v>
      </c>
      <c r="AC42" s="73">
        <v>114.125</v>
      </c>
      <c r="AD42" s="73">
        <v>65.853999999999999</v>
      </c>
      <c r="AE42" s="70">
        <v>98.2</v>
      </c>
      <c r="AF42" s="70">
        <v>101.2</v>
      </c>
      <c r="AG42" s="72">
        <v>0.72</v>
      </c>
    </row>
    <row r="43" spans="1:33" ht="16" x14ac:dyDescent="0.2">
      <c r="A43" s="69" t="s">
        <v>470</v>
      </c>
      <c r="B43" s="70">
        <v>4.59</v>
      </c>
      <c r="C43" s="70">
        <v>459.1</v>
      </c>
      <c r="D43" s="71" t="s">
        <v>512</v>
      </c>
      <c r="E43" s="72">
        <v>0.77</v>
      </c>
      <c r="F43" s="70">
        <v>42.27</v>
      </c>
      <c r="G43" s="70">
        <v>3.63</v>
      </c>
      <c r="H43" s="70">
        <v>13.51</v>
      </c>
      <c r="I43" s="70">
        <v>4.8499999999999996</v>
      </c>
      <c r="J43" s="70">
        <v>8.5</v>
      </c>
      <c r="K43" s="70">
        <v>12.9</v>
      </c>
      <c r="L43" s="70">
        <v>0.18</v>
      </c>
      <c r="M43" s="70">
        <v>6.56</v>
      </c>
      <c r="N43" s="70">
        <v>11.86</v>
      </c>
      <c r="O43" s="70">
        <v>3.5</v>
      </c>
      <c r="P43" s="70">
        <v>2.13</v>
      </c>
      <c r="Q43" s="70">
        <v>0.86</v>
      </c>
      <c r="R43" s="73">
        <v>2.2309999999999999</v>
      </c>
      <c r="S43" s="74">
        <v>7550.64</v>
      </c>
      <c r="T43" s="70">
        <v>1898.31</v>
      </c>
      <c r="U43" s="73">
        <v>0.19</v>
      </c>
      <c r="V43" s="70">
        <v>4158.3</v>
      </c>
      <c r="W43" s="73">
        <v>0.41599999999999998</v>
      </c>
      <c r="X43" s="70">
        <v>750.39</v>
      </c>
      <c r="Y43" s="73">
        <v>7.4999999999999997E-2</v>
      </c>
      <c r="Z43" s="73">
        <v>236.82</v>
      </c>
      <c r="AA43" s="73">
        <v>6.3E-2</v>
      </c>
      <c r="AB43" s="70">
        <v>34.700000000000003</v>
      </c>
      <c r="AC43" s="73">
        <v>100.739</v>
      </c>
      <c r="AD43" s="73">
        <v>58.244</v>
      </c>
      <c r="AE43" s="70">
        <v>97.9</v>
      </c>
      <c r="AF43" s="70">
        <v>101.2</v>
      </c>
      <c r="AG43" s="72">
        <v>0.87</v>
      </c>
    </row>
    <row r="44" spans="1:33" ht="16" x14ac:dyDescent="0.2">
      <c r="A44" s="69" t="s">
        <v>470</v>
      </c>
      <c r="B44" s="70">
        <v>4.5999999999999996</v>
      </c>
      <c r="C44" s="70">
        <v>460.1</v>
      </c>
      <c r="D44" s="71" t="s">
        <v>513</v>
      </c>
      <c r="E44" s="72">
        <v>11.43</v>
      </c>
      <c r="F44" s="70">
        <v>42.59</v>
      </c>
      <c r="G44" s="70">
        <v>3.3</v>
      </c>
      <c r="H44" s="70">
        <v>11.7</v>
      </c>
      <c r="I44" s="70">
        <v>4.8099999999999996</v>
      </c>
      <c r="J44" s="70">
        <v>8.6</v>
      </c>
      <c r="K44" s="70">
        <v>12.9</v>
      </c>
      <c r="L44" s="70">
        <v>0.19</v>
      </c>
      <c r="M44" s="70">
        <v>10.88</v>
      </c>
      <c r="N44" s="70">
        <v>11.25</v>
      </c>
      <c r="O44" s="70">
        <v>2.79</v>
      </c>
      <c r="P44" s="70">
        <v>2.13</v>
      </c>
      <c r="Q44" s="70">
        <v>0.89</v>
      </c>
      <c r="R44" s="73">
        <v>1.0249999999999999</v>
      </c>
      <c r="S44" s="74">
        <v>5895.42</v>
      </c>
      <c r="T44" s="70">
        <v>1088.25</v>
      </c>
      <c r="U44" s="73">
        <v>0.109</v>
      </c>
      <c r="V44" s="70">
        <v>2496.1799999999998</v>
      </c>
      <c r="W44" s="73">
        <v>0.25</v>
      </c>
      <c r="X44" s="70">
        <v>436.85</v>
      </c>
      <c r="Y44" s="73">
        <v>4.3999999999999997E-2</v>
      </c>
      <c r="Z44" s="73">
        <v>123.97499999999999</v>
      </c>
      <c r="AA44" s="73">
        <v>4.3999999999999997E-2</v>
      </c>
      <c r="AB44" s="70">
        <v>45.71</v>
      </c>
      <c r="AC44" s="73">
        <v>74.283000000000001</v>
      </c>
      <c r="AD44" s="73">
        <v>38.305</v>
      </c>
      <c r="AE44" s="70">
        <v>99.1</v>
      </c>
      <c r="AF44" s="70">
        <v>100.7</v>
      </c>
      <c r="AG44" s="72">
        <v>0.72</v>
      </c>
    </row>
    <row r="45" spans="1:33" ht="18.75" customHeight="1" x14ac:dyDescent="0.2">
      <c r="A45" s="69" t="s">
        <v>470</v>
      </c>
      <c r="B45" s="70">
        <v>4.6100000000000003</v>
      </c>
      <c r="C45" s="70">
        <v>461.1</v>
      </c>
      <c r="D45" s="71" t="s">
        <v>514</v>
      </c>
      <c r="E45" s="72">
        <v>6.62</v>
      </c>
      <c r="F45" s="70">
        <v>42.69</v>
      </c>
      <c r="G45" s="70">
        <v>3.39</v>
      </c>
      <c r="H45" s="70">
        <v>14.1</v>
      </c>
      <c r="I45" s="70">
        <v>4.7300000000000004</v>
      </c>
      <c r="J45" s="70">
        <v>8.6</v>
      </c>
      <c r="K45" s="70">
        <v>12.9</v>
      </c>
      <c r="L45" s="70">
        <v>0.16</v>
      </c>
      <c r="M45" s="70">
        <v>6.6</v>
      </c>
      <c r="N45" s="70">
        <v>11.46</v>
      </c>
      <c r="O45" s="70">
        <v>3.43</v>
      </c>
      <c r="P45" s="70">
        <v>2.15</v>
      </c>
      <c r="Q45" s="70">
        <v>0.86</v>
      </c>
      <c r="R45" s="73">
        <v>1.887</v>
      </c>
      <c r="S45" s="74">
        <v>6173.29</v>
      </c>
      <c r="T45" s="70">
        <v>1823.64</v>
      </c>
      <c r="U45" s="73">
        <v>0.182</v>
      </c>
      <c r="V45" s="70">
        <v>3834.43</v>
      </c>
      <c r="W45" s="73">
        <v>0.38300000000000001</v>
      </c>
      <c r="X45" s="70">
        <v>675</v>
      </c>
      <c r="Y45" s="73">
        <v>6.7000000000000004E-2</v>
      </c>
      <c r="Z45" s="73">
        <v>193.63800000000001</v>
      </c>
      <c r="AA45" s="73">
        <v>6.6000000000000003E-2</v>
      </c>
      <c r="AB45" s="70">
        <v>40.6</v>
      </c>
      <c r="AC45" s="73">
        <v>101.88200000000001</v>
      </c>
      <c r="AD45" s="73">
        <v>56.561</v>
      </c>
      <c r="AE45" s="70">
        <v>98.2</v>
      </c>
      <c r="AF45" s="70">
        <v>101.1</v>
      </c>
      <c r="AG45" s="72">
        <v>0.92</v>
      </c>
    </row>
    <row r="46" spans="1:33" ht="16" x14ac:dyDescent="0.2">
      <c r="A46" s="69" t="s">
        <v>515</v>
      </c>
      <c r="B46" s="70">
        <v>18.100000000000001</v>
      </c>
      <c r="C46" s="70">
        <v>1801.2</v>
      </c>
      <c r="D46" s="71" t="s">
        <v>516</v>
      </c>
      <c r="E46" s="72">
        <v>12.43</v>
      </c>
      <c r="F46" s="70">
        <v>44.9</v>
      </c>
      <c r="G46" s="70">
        <v>3.06</v>
      </c>
      <c r="H46" s="70">
        <v>11.06</v>
      </c>
      <c r="I46" s="70">
        <v>4.66</v>
      </c>
      <c r="J46" s="70">
        <v>7.8</v>
      </c>
      <c r="K46" s="70">
        <v>12</v>
      </c>
      <c r="L46" s="70">
        <v>0.13</v>
      </c>
      <c r="M46" s="70">
        <v>9.98</v>
      </c>
      <c r="N46" s="70">
        <v>12.22</v>
      </c>
      <c r="O46" s="70">
        <v>3.39</v>
      </c>
      <c r="P46" s="70">
        <v>1.57</v>
      </c>
      <c r="Q46" s="70">
        <v>0.69</v>
      </c>
      <c r="R46" s="73">
        <v>0.59499999999999997</v>
      </c>
      <c r="S46" s="74">
        <v>5525.83</v>
      </c>
      <c r="T46" s="70">
        <v>300.8</v>
      </c>
      <c r="U46" s="73">
        <v>0.03</v>
      </c>
      <c r="V46" s="70">
        <v>972.09</v>
      </c>
      <c r="W46" s="73">
        <v>9.7000000000000003E-2</v>
      </c>
      <c r="X46" s="70">
        <v>150.88</v>
      </c>
      <c r="Y46" s="73">
        <v>1.4999999999999999E-2</v>
      </c>
      <c r="Z46" s="73">
        <v>77.799000000000007</v>
      </c>
      <c r="AA46" s="73">
        <v>5.3999999999999999E-2</v>
      </c>
      <c r="AB46" s="70">
        <v>24.14</v>
      </c>
      <c r="AC46" s="73">
        <v>77.590999999999994</v>
      </c>
      <c r="AD46" s="73">
        <v>14.047000000000001</v>
      </c>
      <c r="AE46" s="70">
        <v>99.5</v>
      </c>
      <c r="AF46" s="70">
        <v>100.3</v>
      </c>
      <c r="AG46" s="72">
        <v>0.88</v>
      </c>
    </row>
    <row r="47" spans="1:33" ht="16" x14ac:dyDescent="0.2">
      <c r="A47" s="69" t="s">
        <v>515</v>
      </c>
      <c r="B47" s="70">
        <v>18.2</v>
      </c>
      <c r="C47" s="70">
        <v>1802.1</v>
      </c>
      <c r="D47" s="71" t="s">
        <v>517</v>
      </c>
      <c r="E47" s="72">
        <v>13.29</v>
      </c>
      <c r="F47" s="70">
        <v>44.4</v>
      </c>
      <c r="G47" s="70">
        <v>3.15</v>
      </c>
      <c r="H47" s="70">
        <v>10.96</v>
      </c>
      <c r="I47" s="70">
        <v>4.63</v>
      </c>
      <c r="J47" s="70">
        <v>7.9</v>
      </c>
      <c r="K47" s="70">
        <v>12</v>
      </c>
      <c r="L47" s="70">
        <v>0.13</v>
      </c>
      <c r="M47" s="70">
        <v>10.78</v>
      </c>
      <c r="N47" s="70">
        <v>11.69</v>
      </c>
      <c r="O47" s="70">
        <v>3.31</v>
      </c>
      <c r="P47" s="70">
        <v>1.75</v>
      </c>
      <c r="Q47" s="70">
        <v>0.54</v>
      </c>
      <c r="R47" s="73">
        <v>0.89300000000000002</v>
      </c>
      <c r="S47" s="74">
        <v>7191.58</v>
      </c>
      <c r="T47" s="70">
        <v>511.53</v>
      </c>
      <c r="U47" s="73">
        <v>5.0999999999999997E-2</v>
      </c>
      <c r="V47" s="70">
        <v>5604.62</v>
      </c>
      <c r="W47" s="73">
        <v>0.56000000000000005</v>
      </c>
      <c r="X47" s="70">
        <v>185.65</v>
      </c>
      <c r="Y47" s="73">
        <v>1.9E-2</v>
      </c>
      <c r="Z47" s="73">
        <v>53.765999999999998</v>
      </c>
      <c r="AA47" s="73">
        <v>2.9000000000000001E-2</v>
      </c>
      <c r="AB47" s="70">
        <v>11.36</v>
      </c>
      <c r="AC47" s="73">
        <v>157.96600000000001</v>
      </c>
      <c r="AD47" s="73">
        <v>16.925999999999998</v>
      </c>
      <c r="AE47" s="70">
        <v>99.2</v>
      </c>
      <c r="AF47" s="70">
        <v>100.8</v>
      </c>
      <c r="AG47" s="72">
        <v>0.75</v>
      </c>
    </row>
    <row r="48" spans="1:33" ht="16" x14ac:dyDescent="0.2">
      <c r="A48" s="69" t="s">
        <v>515</v>
      </c>
      <c r="B48" s="70">
        <v>18.3</v>
      </c>
      <c r="C48" s="70">
        <v>1803.3</v>
      </c>
      <c r="D48" s="71" t="s">
        <v>518</v>
      </c>
      <c r="E48" s="72">
        <v>13.77</v>
      </c>
      <c r="F48" s="70">
        <v>42.8</v>
      </c>
      <c r="G48" s="70">
        <v>2.57</v>
      </c>
      <c r="H48" s="70">
        <v>10.86</v>
      </c>
      <c r="I48" s="70">
        <v>4.7699999999999996</v>
      </c>
      <c r="J48" s="70">
        <v>7.7</v>
      </c>
      <c r="K48" s="70">
        <v>12</v>
      </c>
      <c r="L48" s="70">
        <v>0.15</v>
      </c>
      <c r="M48" s="70">
        <v>10.15</v>
      </c>
      <c r="N48" s="70">
        <v>12.5</v>
      </c>
      <c r="O48" s="70">
        <v>3.07</v>
      </c>
      <c r="P48" s="70">
        <v>2.09</v>
      </c>
      <c r="Q48" s="70">
        <v>0.77</v>
      </c>
      <c r="R48" s="73">
        <v>2.669</v>
      </c>
      <c r="S48" s="74">
        <v>13336.14</v>
      </c>
      <c r="T48" s="70">
        <v>1859.84</v>
      </c>
      <c r="U48" s="73">
        <v>0.186</v>
      </c>
      <c r="V48" s="70">
        <v>5928.31</v>
      </c>
      <c r="W48" s="73">
        <v>0.59299999999999997</v>
      </c>
      <c r="X48" s="70">
        <v>1001.35</v>
      </c>
      <c r="Y48" s="73">
        <v>0.1</v>
      </c>
      <c r="Z48" s="73">
        <v>880.43200000000002</v>
      </c>
      <c r="AA48" s="73">
        <v>0.224</v>
      </c>
      <c r="AB48" s="70">
        <v>134.22</v>
      </c>
      <c r="AC48" s="73">
        <v>286.79300000000001</v>
      </c>
      <c r="AD48" s="73">
        <v>107.17400000000001</v>
      </c>
      <c r="AE48" s="70">
        <v>97.5</v>
      </c>
      <c r="AF48" s="70">
        <v>102</v>
      </c>
      <c r="AG48" s="72">
        <v>0.88</v>
      </c>
    </row>
    <row r="49" spans="1:33" ht="16" x14ac:dyDescent="0.2">
      <c r="A49" s="69" t="s">
        <v>515</v>
      </c>
      <c r="B49" s="70">
        <v>18.399999999999999</v>
      </c>
      <c r="C49" s="70">
        <v>1804.2</v>
      </c>
      <c r="D49" s="71" t="s">
        <v>519</v>
      </c>
      <c r="E49" s="72">
        <v>14.35</v>
      </c>
      <c r="F49" s="70">
        <v>42.18</v>
      </c>
      <c r="G49" s="70">
        <v>3.04</v>
      </c>
      <c r="H49" s="70">
        <v>10.93</v>
      </c>
      <c r="I49" s="70">
        <v>4.8</v>
      </c>
      <c r="J49" s="70">
        <v>7.7</v>
      </c>
      <c r="K49" s="70">
        <v>12</v>
      </c>
      <c r="L49" s="70">
        <v>0.13</v>
      </c>
      <c r="M49" s="70">
        <v>11</v>
      </c>
      <c r="N49" s="70">
        <v>13.19</v>
      </c>
      <c r="O49" s="70">
        <v>3.18</v>
      </c>
      <c r="P49" s="70">
        <v>1.68</v>
      </c>
      <c r="Q49" s="70">
        <v>0.64</v>
      </c>
      <c r="R49" s="73">
        <v>1.653</v>
      </c>
      <c r="S49" s="74">
        <v>7201.02</v>
      </c>
      <c r="T49" s="70">
        <v>1204.8399999999999</v>
      </c>
      <c r="U49" s="73">
        <v>0.12</v>
      </c>
      <c r="V49" s="70">
        <v>3597.83</v>
      </c>
      <c r="W49" s="73">
        <v>0.36</v>
      </c>
      <c r="X49" s="70">
        <v>678.01</v>
      </c>
      <c r="Y49" s="73">
        <v>6.8000000000000005E-2</v>
      </c>
      <c r="Z49" s="73">
        <v>421.86</v>
      </c>
      <c r="AA49" s="73">
        <v>7.0000000000000007E-2</v>
      </c>
      <c r="AB49" s="70">
        <v>44.68</v>
      </c>
      <c r="AC49" s="73">
        <v>124.855</v>
      </c>
      <c r="AD49" s="73">
        <v>70.245000000000005</v>
      </c>
      <c r="AE49" s="70">
        <v>98.5</v>
      </c>
      <c r="AF49" s="70">
        <v>101.3</v>
      </c>
      <c r="AG49" s="72">
        <v>0.88</v>
      </c>
    </row>
    <row r="50" spans="1:33" ht="16" x14ac:dyDescent="0.2">
      <c r="A50" s="76" t="s">
        <v>515</v>
      </c>
      <c r="B50" s="77">
        <v>18.399999999999999</v>
      </c>
      <c r="C50" s="78" t="s">
        <v>520</v>
      </c>
      <c r="D50" s="78" t="s">
        <v>521</v>
      </c>
      <c r="E50" s="79">
        <v>8.1199999999999992</v>
      </c>
      <c r="F50" s="77">
        <v>43.15</v>
      </c>
      <c r="G50" s="77">
        <v>3.26</v>
      </c>
      <c r="H50" s="77">
        <v>10.65</v>
      </c>
      <c r="I50" s="77">
        <v>4.87</v>
      </c>
      <c r="J50" s="77">
        <v>7.6</v>
      </c>
      <c r="K50" s="77">
        <v>12</v>
      </c>
      <c r="L50" s="77">
        <v>0.11</v>
      </c>
      <c r="M50" s="77">
        <v>9.18</v>
      </c>
      <c r="N50" s="77">
        <v>13.89</v>
      </c>
      <c r="O50" s="77">
        <v>3.3</v>
      </c>
      <c r="P50" s="77">
        <v>1.49</v>
      </c>
      <c r="Q50" s="77">
        <v>0.57999999999999996</v>
      </c>
      <c r="R50" s="80">
        <v>1.9830000000000001</v>
      </c>
      <c r="S50" s="81">
        <v>10540.76</v>
      </c>
      <c r="T50" s="77">
        <v>1654.83</v>
      </c>
      <c r="U50" s="80">
        <v>0.16500000000000001</v>
      </c>
      <c r="V50" s="77">
        <v>4483.4399999999996</v>
      </c>
      <c r="W50" s="80">
        <v>0.44800000000000001</v>
      </c>
      <c r="X50" s="77">
        <v>887.41</v>
      </c>
      <c r="Y50" s="80">
        <v>8.8999999999999996E-2</v>
      </c>
      <c r="Z50" s="80">
        <v>532.375</v>
      </c>
      <c r="AA50" s="80">
        <v>6.3E-2</v>
      </c>
      <c r="AB50" s="77">
        <v>47.97</v>
      </c>
      <c r="AC50" s="80">
        <v>117.22499999999999</v>
      </c>
      <c r="AD50" s="80">
        <v>74.596000000000004</v>
      </c>
      <c r="AE50" s="77">
        <v>98.1</v>
      </c>
      <c r="AF50" s="77">
        <v>101.7</v>
      </c>
      <c r="AG50" s="79">
        <v>0.88</v>
      </c>
    </row>
    <row r="51" spans="1:33" ht="16" x14ac:dyDescent="0.2">
      <c r="A51" s="69" t="s">
        <v>515</v>
      </c>
      <c r="B51" s="70">
        <v>18.5</v>
      </c>
      <c r="C51" s="70">
        <v>1805.1</v>
      </c>
      <c r="D51" s="71" t="s">
        <v>522</v>
      </c>
      <c r="E51" s="72">
        <v>9.82</v>
      </c>
      <c r="F51" s="70">
        <v>42.49</v>
      </c>
      <c r="G51" s="70">
        <v>3.22</v>
      </c>
      <c r="H51" s="70">
        <v>11.38</v>
      </c>
      <c r="I51" s="70">
        <v>4.82</v>
      </c>
      <c r="J51" s="70">
        <v>7.7</v>
      </c>
      <c r="K51" s="70">
        <v>12</v>
      </c>
      <c r="L51" s="70">
        <v>0.13</v>
      </c>
      <c r="M51" s="70">
        <v>8.83</v>
      </c>
      <c r="N51" s="70">
        <v>14.38</v>
      </c>
      <c r="O51" s="70">
        <v>3.13</v>
      </c>
      <c r="P51" s="70">
        <v>1.44</v>
      </c>
      <c r="Q51" s="70">
        <v>1.39</v>
      </c>
      <c r="R51" s="73">
        <v>1.194</v>
      </c>
      <c r="S51" s="74">
        <v>5341.91</v>
      </c>
      <c r="T51" s="70">
        <v>589.53</v>
      </c>
      <c r="U51" s="73">
        <v>5.8999999999999997E-2</v>
      </c>
      <c r="V51" s="70">
        <v>1641.9</v>
      </c>
      <c r="W51" s="73">
        <v>0.16400000000000001</v>
      </c>
      <c r="X51" s="70">
        <v>199.77</v>
      </c>
      <c r="Y51" s="73">
        <v>0.02</v>
      </c>
      <c r="Z51" s="73">
        <v>115.68300000000001</v>
      </c>
      <c r="AA51" s="73">
        <v>4.7E-2</v>
      </c>
      <c r="AB51" s="70">
        <v>15.53</v>
      </c>
      <c r="AC51" s="73">
        <v>71.266999999999996</v>
      </c>
      <c r="AD51" s="73">
        <v>20.863</v>
      </c>
      <c r="AE51" s="70">
        <v>98.9</v>
      </c>
      <c r="AF51" s="70">
        <v>100.5</v>
      </c>
      <c r="AG51" s="72">
        <v>0.88</v>
      </c>
    </row>
    <row r="52" spans="1:33" ht="16" x14ac:dyDescent="0.2">
      <c r="A52" s="69" t="s">
        <v>515</v>
      </c>
      <c r="B52" s="70">
        <v>18.600000000000001</v>
      </c>
      <c r="C52" s="70">
        <v>1806.1</v>
      </c>
      <c r="D52" s="71" t="s">
        <v>523</v>
      </c>
      <c r="E52" s="72">
        <v>17.989999999999998</v>
      </c>
      <c r="F52" s="70">
        <v>44.42</v>
      </c>
      <c r="G52" s="70">
        <v>3.47</v>
      </c>
      <c r="H52" s="70">
        <v>11.22</v>
      </c>
      <c r="I52" s="70">
        <v>4.55</v>
      </c>
      <c r="J52" s="70">
        <v>7.9</v>
      </c>
      <c r="K52" s="70">
        <v>12</v>
      </c>
      <c r="L52" s="70">
        <v>0.09</v>
      </c>
      <c r="M52" s="70">
        <v>10.36</v>
      </c>
      <c r="N52" s="70">
        <v>11.25</v>
      </c>
      <c r="O52" s="70">
        <v>3.4</v>
      </c>
      <c r="P52" s="70">
        <v>1.51</v>
      </c>
      <c r="Q52" s="70">
        <v>0.32</v>
      </c>
      <c r="R52" s="73">
        <v>1.595</v>
      </c>
      <c r="S52" s="74">
        <v>9064.4699999999993</v>
      </c>
      <c r="T52" s="70">
        <v>1239.0999999999999</v>
      </c>
      <c r="U52" s="73">
        <v>0.124</v>
      </c>
      <c r="V52" s="70">
        <v>3609.11</v>
      </c>
      <c r="W52" s="73">
        <v>0.36099999999999999</v>
      </c>
      <c r="X52" s="70">
        <v>443.17</v>
      </c>
      <c r="Y52" s="73">
        <v>4.3999999999999997E-2</v>
      </c>
      <c r="Z52" s="73">
        <v>991.22199999999998</v>
      </c>
      <c r="AA52" s="73">
        <v>5.7000000000000002E-2</v>
      </c>
      <c r="AB52" s="70">
        <v>29.47</v>
      </c>
      <c r="AC52" s="73">
        <v>103.35</v>
      </c>
      <c r="AD52" s="73">
        <v>41.401000000000003</v>
      </c>
      <c r="AE52" s="70">
        <v>98.5</v>
      </c>
      <c r="AF52" s="70">
        <v>101.4</v>
      </c>
      <c r="AG52" s="72">
        <v>0.88</v>
      </c>
    </row>
    <row r="53" spans="1:33" ht="16" x14ac:dyDescent="0.2">
      <c r="A53" s="69" t="s">
        <v>515</v>
      </c>
      <c r="B53" s="70">
        <v>18.7</v>
      </c>
      <c r="C53" s="70">
        <v>1807.2</v>
      </c>
      <c r="D53" s="71" t="s">
        <v>524</v>
      </c>
      <c r="E53" s="72">
        <v>9.9600000000000009</v>
      </c>
      <c r="F53" s="70">
        <v>42.91</v>
      </c>
      <c r="G53" s="70">
        <v>4.1399999999999997</v>
      </c>
      <c r="H53" s="70">
        <v>10.91</v>
      </c>
      <c r="I53" s="70">
        <v>4.82</v>
      </c>
      <c r="J53" s="70">
        <v>7.7</v>
      </c>
      <c r="K53" s="70">
        <v>12</v>
      </c>
      <c r="L53" s="70">
        <v>0.18</v>
      </c>
      <c r="M53" s="70">
        <v>9.1300000000000008</v>
      </c>
      <c r="N53" s="70">
        <v>13.82</v>
      </c>
      <c r="O53" s="70">
        <v>3.18</v>
      </c>
      <c r="P53" s="70">
        <v>1.62</v>
      </c>
      <c r="Q53" s="70">
        <v>0.75</v>
      </c>
      <c r="R53" s="73">
        <v>0.96</v>
      </c>
      <c r="S53" s="74">
        <v>8428.4599999999991</v>
      </c>
      <c r="T53" s="70">
        <v>487.23</v>
      </c>
      <c r="U53" s="73">
        <v>4.9000000000000002E-2</v>
      </c>
      <c r="V53" s="70">
        <v>1536.77</v>
      </c>
      <c r="W53" s="73">
        <v>0.154</v>
      </c>
      <c r="X53" s="70">
        <v>201.18</v>
      </c>
      <c r="Y53" s="73">
        <v>0.02</v>
      </c>
      <c r="Z53" s="73">
        <v>258.49</v>
      </c>
      <c r="AA53" s="73">
        <v>2.9000000000000001E-2</v>
      </c>
      <c r="AB53" s="70">
        <v>10.14</v>
      </c>
      <c r="AC53" s="73">
        <v>47.67</v>
      </c>
      <c r="AD53" s="73">
        <v>17.187999999999999</v>
      </c>
      <c r="AE53" s="70">
        <v>99.1</v>
      </c>
      <c r="AF53" s="70">
        <v>100.7</v>
      </c>
      <c r="AG53" s="72">
        <v>1.07</v>
      </c>
    </row>
    <row r="54" spans="1:33" ht="16" x14ac:dyDescent="0.2">
      <c r="A54" s="69" t="s">
        <v>515</v>
      </c>
      <c r="B54" s="70">
        <v>18.8</v>
      </c>
      <c r="C54" s="70">
        <v>1808.1</v>
      </c>
      <c r="D54" s="71" t="s">
        <v>525</v>
      </c>
      <c r="E54" s="72">
        <v>12.02</v>
      </c>
      <c r="F54" s="70">
        <v>43.76</v>
      </c>
      <c r="G54" s="70">
        <v>3.26</v>
      </c>
      <c r="H54" s="70">
        <v>11.59</v>
      </c>
      <c r="I54" s="70">
        <v>4.58</v>
      </c>
      <c r="J54" s="70">
        <v>7.9</v>
      </c>
      <c r="K54" s="70">
        <v>12</v>
      </c>
      <c r="L54" s="70">
        <v>0.12</v>
      </c>
      <c r="M54" s="70">
        <v>10.27</v>
      </c>
      <c r="N54" s="70">
        <v>12.47</v>
      </c>
      <c r="O54" s="70">
        <v>2.97</v>
      </c>
      <c r="P54" s="70">
        <v>1.64</v>
      </c>
      <c r="Q54" s="70">
        <v>0.86</v>
      </c>
      <c r="R54" s="73">
        <v>0.65600000000000003</v>
      </c>
      <c r="S54" s="74">
        <v>5386.23</v>
      </c>
      <c r="T54" s="70">
        <v>524.04999999999995</v>
      </c>
      <c r="U54" s="73">
        <v>5.1999999999999998E-2</v>
      </c>
      <c r="V54" s="70">
        <v>1503.48</v>
      </c>
      <c r="W54" s="73">
        <v>0.15</v>
      </c>
      <c r="X54" s="70">
        <v>231.48</v>
      </c>
      <c r="Y54" s="73">
        <v>2.3E-2</v>
      </c>
      <c r="Z54" s="73">
        <v>61.828000000000003</v>
      </c>
      <c r="AA54" s="73">
        <v>3.1E-2</v>
      </c>
      <c r="AB54" s="70">
        <v>28.09</v>
      </c>
      <c r="AC54" s="73">
        <v>66.444000000000003</v>
      </c>
      <c r="AD54" s="73">
        <v>23.914999999999999</v>
      </c>
      <c r="AE54" s="70">
        <v>99.4</v>
      </c>
      <c r="AF54" s="70">
        <v>100.4</v>
      </c>
      <c r="AG54" s="72">
        <v>0.74</v>
      </c>
    </row>
    <row r="55" spans="1:33" ht="16" x14ac:dyDescent="0.2">
      <c r="A55" s="76" t="s">
        <v>515</v>
      </c>
      <c r="B55" s="77">
        <v>18.899999999999999</v>
      </c>
      <c r="C55" s="77">
        <v>1809.1</v>
      </c>
      <c r="D55" s="78" t="s">
        <v>526</v>
      </c>
      <c r="E55" s="79">
        <v>14.6</v>
      </c>
      <c r="F55" s="77">
        <v>42.64</v>
      </c>
      <c r="G55" s="77">
        <v>2.8</v>
      </c>
      <c r="H55" s="77">
        <v>10.75</v>
      </c>
      <c r="I55" s="77">
        <v>4.82</v>
      </c>
      <c r="J55" s="77">
        <v>7.7</v>
      </c>
      <c r="K55" s="77">
        <v>12</v>
      </c>
      <c r="L55" s="77">
        <v>0.14000000000000001</v>
      </c>
      <c r="M55" s="77">
        <v>10.17</v>
      </c>
      <c r="N55" s="77">
        <v>13.46</v>
      </c>
      <c r="O55" s="77">
        <v>3.24</v>
      </c>
      <c r="P55" s="77">
        <v>1.44</v>
      </c>
      <c r="Q55" s="77">
        <v>0.86</v>
      </c>
      <c r="R55" s="80">
        <v>2.117</v>
      </c>
      <c r="S55" s="81">
        <v>14148.47</v>
      </c>
      <c r="T55" s="77">
        <v>1673.78</v>
      </c>
      <c r="U55" s="80">
        <v>0.16700000000000001</v>
      </c>
      <c r="V55" s="77">
        <v>5106.8999999999996</v>
      </c>
      <c r="W55" s="80">
        <v>0.51100000000000001</v>
      </c>
      <c r="X55" s="77">
        <v>1086.6400000000001</v>
      </c>
      <c r="Y55" s="80">
        <v>0.109</v>
      </c>
      <c r="Z55" s="80">
        <v>546.26700000000005</v>
      </c>
      <c r="AA55" s="80">
        <v>6.8000000000000005E-2</v>
      </c>
      <c r="AB55" s="77">
        <v>35.630000000000003</v>
      </c>
      <c r="AC55" s="80">
        <v>134.44200000000001</v>
      </c>
      <c r="AD55" s="80">
        <v>95.930999999999997</v>
      </c>
      <c r="AE55" s="77">
        <v>98</v>
      </c>
      <c r="AF55" s="77">
        <v>101.8</v>
      </c>
      <c r="AG55" s="79">
        <v>0.88</v>
      </c>
    </row>
    <row r="56" spans="1:33" ht="16" x14ac:dyDescent="0.2">
      <c r="A56" s="76" t="s">
        <v>515</v>
      </c>
      <c r="B56" s="77">
        <v>18.100000000000001</v>
      </c>
      <c r="C56" s="77">
        <v>1810.5</v>
      </c>
      <c r="D56" s="78" t="s">
        <v>527</v>
      </c>
      <c r="E56" s="79">
        <v>11.56</v>
      </c>
      <c r="F56" s="77">
        <v>41.02</v>
      </c>
      <c r="G56" s="77">
        <v>4.01</v>
      </c>
      <c r="H56" s="77">
        <v>12.2</v>
      </c>
      <c r="I56" s="77">
        <v>4.7</v>
      </c>
      <c r="J56" s="77">
        <v>7.8</v>
      </c>
      <c r="K56" s="77">
        <v>12</v>
      </c>
      <c r="L56" s="77">
        <v>0.17</v>
      </c>
      <c r="M56" s="77">
        <v>9.81</v>
      </c>
      <c r="N56" s="77">
        <v>11.95</v>
      </c>
      <c r="O56" s="77">
        <v>3.63</v>
      </c>
      <c r="P56" s="77">
        <v>1.86</v>
      </c>
      <c r="Q56" s="77">
        <v>0.84</v>
      </c>
      <c r="R56" s="80">
        <v>2.145</v>
      </c>
      <c r="S56" s="81">
        <v>11195.49</v>
      </c>
      <c r="T56" s="77">
        <v>1584.52</v>
      </c>
      <c r="U56" s="80">
        <v>0.158</v>
      </c>
      <c r="V56" s="77">
        <v>4843.2299999999996</v>
      </c>
      <c r="W56" s="80">
        <v>0.48399999999999999</v>
      </c>
      <c r="X56" s="77">
        <v>782.43</v>
      </c>
      <c r="Y56" s="80">
        <v>7.8E-2</v>
      </c>
      <c r="Z56" s="80">
        <v>410.06799999999998</v>
      </c>
      <c r="AA56" s="80">
        <v>7.3999999999999996E-2</v>
      </c>
      <c r="AB56" s="77">
        <v>40.44</v>
      </c>
      <c r="AC56" s="80">
        <v>146.54599999999999</v>
      </c>
      <c r="AD56" s="80">
        <v>87.644000000000005</v>
      </c>
      <c r="AE56" s="77">
        <v>98</v>
      </c>
      <c r="AF56" s="77">
        <v>101.5</v>
      </c>
      <c r="AG56" s="79">
        <v>0.88</v>
      </c>
    </row>
    <row r="57" spans="1:33" ht="16" x14ac:dyDescent="0.2">
      <c r="A57" s="69" t="s">
        <v>515</v>
      </c>
      <c r="B57" s="70">
        <v>18.11</v>
      </c>
      <c r="C57" s="70">
        <v>1811.1</v>
      </c>
      <c r="D57" s="71" t="s">
        <v>528</v>
      </c>
      <c r="E57" s="72">
        <v>7.99</v>
      </c>
      <c r="F57" s="70">
        <v>44.37</v>
      </c>
      <c r="G57" s="70">
        <v>3.41</v>
      </c>
      <c r="H57" s="70">
        <v>11.1</v>
      </c>
      <c r="I57" s="70">
        <v>4.76</v>
      </c>
      <c r="J57" s="70">
        <v>7.8</v>
      </c>
      <c r="K57" s="70">
        <v>12</v>
      </c>
      <c r="L57" s="70">
        <v>0.15</v>
      </c>
      <c r="M57" s="70">
        <v>8.86</v>
      </c>
      <c r="N57" s="70">
        <v>12.8</v>
      </c>
      <c r="O57" s="70">
        <v>3.45</v>
      </c>
      <c r="P57" s="70">
        <v>1.75</v>
      </c>
      <c r="Q57" s="70">
        <v>0.74</v>
      </c>
      <c r="R57" s="73">
        <v>0.98099999999999998</v>
      </c>
      <c r="S57" s="74">
        <v>7667.33</v>
      </c>
      <c r="T57" s="70">
        <v>665.35</v>
      </c>
      <c r="U57" s="73">
        <v>6.7000000000000004E-2</v>
      </c>
      <c r="V57" s="70">
        <v>1965.81</v>
      </c>
      <c r="W57" s="73">
        <v>0.19700000000000001</v>
      </c>
      <c r="X57" s="70">
        <v>287.01</v>
      </c>
      <c r="Y57" s="73">
        <v>2.9000000000000001E-2</v>
      </c>
      <c r="Z57" s="73">
        <v>72.126999999999995</v>
      </c>
      <c r="AA57" s="73">
        <v>3.5999999999999997E-2</v>
      </c>
      <c r="AB57" s="70">
        <v>19.64</v>
      </c>
      <c r="AC57" s="73">
        <v>58.551000000000002</v>
      </c>
      <c r="AD57" s="73">
        <v>24.884</v>
      </c>
      <c r="AE57" s="70">
        <v>99.1</v>
      </c>
      <c r="AF57" s="70">
        <v>100.5</v>
      </c>
      <c r="AG57" s="72">
        <v>0.88</v>
      </c>
    </row>
    <row r="58" spans="1:33" ht="16" x14ac:dyDescent="0.2">
      <c r="A58" s="69" t="s">
        <v>515</v>
      </c>
      <c r="B58" s="70">
        <v>18.11</v>
      </c>
      <c r="C58" s="70">
        <v>1811.2</v>
      </c>
      <c r="D58" s="71" t="s">
        <v>529</v>
      </c>
      <c r="E58" s="72">
        <v>7.89</v>
      </c>
      <c r="F58" s="70">
        <v>44.3</v>
      </c>
      <c r="G58" s="70">
        <v>3.52</v>
      </c>
      <c r="H58" s="70">
        <v>10.91</v>
      </c>
      <c r="I58" s="70">
        <v>4.74</v>
      </c>
      <c r="J58" s="70">
        <v>7.8</v>
      </c>
      <c r="K58" s="70">
        <v>12</v>
      </c>
      <c r="L58" s="70">
        <v>0.15</v>
      </c>
      <c r="M58" s="70">
        <v>8.7899999999999991</v>
      </c>
      <c r="N58" s="70">
        <v>12.89</v>
      </c>
      <c r="O58" s="70">
        <v>3.3</v>
      </c>
      <c r="P58" s="70">
        <v>1.68</v>
      </c>
      <c r="Q58" s="70">
        <v>0.75</v>
      </c>
      <c r="R58" s="73">
        <v>1.3120000000000001</v>
      </c>
      <c r="S58" s="74">
        <v>9805.15</v>
      </c>
      <c r="T58" s="70">
        <v>694.12</v>
      </c>
      <c r="U58" s="73">
        <v>6.9000000000000006E-2</v>
      </c>
      <c r="V58" s="70">
        <v>1792.9</v>
      </c>
      <c r="W58" s="73">
        <v>0.17899999999999999</v>
      </c>
      <c r="X58" s="70">
        <v>233.47</v>
      </c>
      <c r="Y58" s="73">
        <v>2.3E-2</v>
      </c>
      <c r="Z58" s="73">
        <v>104.974</v>
      </c>
      <c r="AA58" s="73">
        <v>5.8000000000000003E-2</v>
      </c>
      <c r="AB58" s="70">
        <v>24.92</v>
      </c>
      <c r="AC58" s="73">
        <v>53.127000000000002</v>
      </c>
      <c r="AD58" s="73">
        <v>20.837</v>
      </c>
      <c r="AE58" s="70">
        <v>98.8</v>
      </c>
      <c r="AF58" s="70">
        <v>100.6</v>
      </c>
      <c r="AG58" s="72">
        <v>0.69</v>
      </c>
    </row>
    <row r="59" spans="1:33" ht="16" x14ac:dyDescent="0.2">
      <c r="A59" s="69" t="s">
        <v>515</v>
      </c>
      <c r="B59" s="70">
        <v>18.11</v>
      </c>
      <c r="C59" s="70">
        <v>1811.3</v>
      </c>
      <c r="D59" s="71" t="s">
        <v>530</v>
      </c>
      <c r="E59" s="72">
        <v>10.78</v>
      </c>
      <c r="F59" s="70">
        <v>43.98</v>
      </c>
      <c r="G59" s="70">
        <v>3.81</v>
      </c>
      <c r="H59" s="70">
        <v>11.06</v>
      </c>
      <c r="I59" s="70">
        <v>4.68</v>
      </c>
      <c r="J59" s="70">
        <v>7.8</v>
      </c>
      <c r="K59" s="70">
        <v>12</v>
      </c>
      <c r="L59" s="70">
        <v>0.15</v>
      </c>
      <c r="M59" s="70">
        <v>9.4700000000000006</v>
      </c>
      <c r="N59" s="70">
        <v>12.92</v>
      </c>
      <c r="O59" s="70">
        <v>3.14</v>
      </c>
      <c r="P59" s="70">
        <v>1.54</v>
      </c>
      <c r="Q59" s="70">
        <v>0.7</v>
      </c>
      <c r="R59" s="73">
        <v>0.80900000000000005</v>
      </c>
      <c r="S59" s="74">
        <v>5323.87</v>
      </c>
      <c r="T59" s="70">
        <v>528.17999999999995</v>
      </c>
      <c r="U59" s="73">
        <v>5.2999999999999999E-2</v>
      </c>
      <c r="V59" s="70">
        <v>1611.29</v>
      </c>
      <c r="W59" s="73">
        <v>0.161</v>
      </c>
      <c r="X59" s="70">
        <v>246.14</v>
      </c>
      <c r="Y59" s="73">
        <v>2.5000000000000001E-2</v>
      </c>
      <c r="Z59" s="73">
        <v>60.033999999999999</v>
      </c>
      <c r="AA59" s="73">
        <v>3.1E-2</v>
      </c>
      <c r="AB59" s="70">
        <v>18.77</v>
      </c>
      <c r="AC59" s="73">
        <v>51.841999999999999</v>
      </c>
      <c r="AD59" s="73">
        <v>22.55</v>
      </c>
      <c r="AE59" s="70">
        <v>99.3</v>
      </c>
      <c r="AF59" s="70">
        <v>100.4</v>
      </c>
      <c r="AG59" s="72">
        <v>0.88</v>
      </c>
    </row>
    <row r="60" spans="1:33" ht="16" x14ac:dyDescent="0.2">
      <c r="A60" s="76" t="s">
        <v>515</v>
      </c>
      <c r="B60" s="77">
        <v>18.13</v>
      </c>
      <c r="C60" s="77">
        <v>1813.1</v>
      </c>
      <c r="D60" s="78" t="s">
        <v>531</v>
      </c>
      <c r="E60" s="79">
        <v>8.51</v>
      </c>
      <c r="F60" s="77">
        <v>42.74</v>
      </c>
      <c r="G60" s="77">
        <v>3.11</v>
      </c>
      <c r="H60" s="77">
        <v>11.21</v>
      </c>
      <c r="I60" s="77">
        <v>4.79</v>
      </c>
      <c r="J60" s="77">
        <v>7.7</v>
      </c>
      <c r="K60" s="77">
        <v>12</v>
      </c>
      <c r="L60" s="77">
        <v>0.14000000000000001</v>
      </c>
      <c r="M60" s="77">
        <v>9.2100000000000009</v>
      </c>
      <c r="N60" s="77">
        <v>13.62</v>
      </c>
      <c r="O60" s="77">
        <v>3.19</v>
      </c>
      <c r="P60" s="77">
        <v>1.53</v>
      </c>
      <c r="Q60" s="77">
        <v>0.73</v>
      </c>
      <c r="R60" s="80">
        <v>2.133</v>
      </c>
      <c r="S60" s="81">
        <v>10633.3</v>
      </c>
      <c r="T60" s="77">
        <v>1598</v>
      </c>
      <c r="U60" s="80">
        <v>0.16</v>
      </c>
      <c r="V60" s="77">
        <v>4506.26</v>
      </c>
      <c r="W60" s="80">
        <v>0.45100000000000001</v>
      </c>
      <c r="X60" s="77">
        <v>830.82</v>
      </c>
      <c r="Y60" s="80">
        <v>8.3000000000000004E-2</v>
      </c>
      <c r="Z60" s="80">
        <v>451.87799999999999</v>
      </c>
      <c r="AA60" s="80">
        <v>9.8000000000000004E-2</v>
      </c>
      <c r="AB60" s="77">
        <v>65.19</v>
      </c>
      <c r="AC60" s="80">
        <v>154.136</v>
      </c>
      <c r="AD60" s="80">
        <v>77.061000000000007</v>
      </c>
      <c r="AE60" s="77">
        <v>98</v>
      </c>
      <c r="AF60" s="77">
        <v>101.6</v>
      </c>
      <c r="AG60" s="79">
        <v>1.02</v>
      </c>
    </row>
    <row r="61" spans="1:33" ht="16" x14ac:dyDescent="0.2">
      <c r="A61" s="76" t="s">
        <v>515</v>
      </c>
      <c r="B61" s="77">
        <v>18.13</v>
      </c>
      <c r="C61" s="77">
        <v>1813.2</v>
      </c>
      <c r="D61" s="78" t="s">
        <v>532</v>
      </c>
      <c r="E61" s="79">
        <v>10.19</v>
      </c>
      <c r="F61" s="77">
        <v>42.46</v>
      </c>
      <c r="G61" s="77">
        <v>3.1</v>
      </c>
      <c r="H61" s="77">
        <v>11.06</v>
      </c>
      <c r="I61" s="77">
        <v>4.87</v>
      </c>
      <c r="J61" s="77">
        <v>7.7</v>
      </c>
      <c r="K61" s="77">
        <v>12</v>
      </c>
      <c r="L61" s="77">
        <v>0.15</v>
      </c>
      <c r="M61" s="77">
        <v>9.3800000000000008</v>
      </c>
      <c r="N61" s="77">
        <v>13.64</v>
      </c>
      <c r="O61" s="77">
        <v>3.42</v>
      </c>
      <c r="P61" s="77">
        <v>1.53</v>
      </c>
      <c r="Q61" s="77">
        <v>0.73</v>
      </c>
      <c r="R61" s="80">
        <v>2.149</v>
      </c>
      <c r="S61" s="81">
        <v>11058.97</v>
      </c>
      <c r="T61" s="77">
        <v>1605.6</v>
      </c>
      <c r="U61" s="80">
        <v>0.161</v>
      </c>
      <c r="V61" s="77">
        <v>4526.99</v>
      </c>
      <c r="W61" s="80">
        <v>0.45300000000000001</v>
      </c>
      <c r="X61" s="77">
        <v>844.68</v>
      </c>
      <c r="Y61" s="80">
        <v>8.4000000000000005E-2</v>
      </c>
      <c r="Z61" s="80">
        <v>488.43799999999999</v>
      </c>
      <c r="AA61" s="80">
        <v>0.125</v>
      </c>
      <c r="AB61" s="77">
        <v>80.05</v>
      </c>
      <c r="AC61" s="80">
        <v>154.566</v>
      </c>
      <c r="AD61" s="80">
        <v>77.117999999999995</v>
      </c>
      <c r="AE61" s="77">
        <v>98</v>
      </c>
      <c r="AF61" s="77">
        <v>101.6</v>
      </c>
      <c r="AG61" s="79">
        <v>0.88</v>
      </c>
    </row>
    <row r="62" spans="1:33" ht="16" x14ac:dyDescent="0.2">
      <c r="A62" s="69" t="s">
        <v>515</v>
      </c>
      <c r="B62" s="70">
        <v>18.14</v>
      </c>
      <c r="C62" s="70">
        <v>1814.2</v>
      </c>
      <c r="D62" s="71" t="s">
        <v>533</v>
      </c>
      <c r="E62" s="72">
        <v>16.510000000000002</v>
      </c>
      <c r="F62" s="70">
        <v>44.37</v>
      </c>
      <c r="G62" s="70">
        <v>3.04</v>
      </c>
      <c r="H62" s="70">
        <v>10.37</v>
      </c>
      <c r="I62" s="70">
        <v>4.79</v>
      </c>
      <c r="J62" s="70">
        <v>7.7</v>
      </c>
      <c r="K62" s="70">
        <v>12</v>
      </c>
      <c r="L62" s="70">
        <v>0.14000000000000001</v>
      </c>
      <c r="M62" s="70">
        <v>9.7200000000000006</v>
      </c>
      <c r="N62" s="70">
        <v>13.82</v>
      </c>
      <c r="O62" s="70">
        <v>3.06</v>
      </c>
      <c r="P62" s="70">
        <v>1.37</v>
      </c>
      <c r="Q62" s="70">
        <v>0.49</v>
      </c>
      <c r="R62" s="73">
        <v>1.2170000000000001</v>
      </c>
      <c r="S62" s="74">
        <v>9315.43</v>
      </c>
      <c r="T62" s="70">
        <v>952.14</v>
      </c>
      <c r="U62" s="73">
        <v>9.5000000000000001E-2</v>
      </c>
      <c r="V62" s="70">
        <v>2494.37</v>
      </c>
      <c r="W62" s="73">
        <v>0.249</v>
      </c>
      <c r="X62" s="70">
        <v>483.27</v>
      </c>
      <c r="Y62" s="73">
        <v>4.8000000000000001E-2</v>
      </c>
      <c r="Z62" s="73">
        <v>317.47399999999999</v>
      </c>
      <c r="AA62" s="73">
        <v>4.3999999999999997E-2</v>
      </c>
      <c r="AB62" s="70">
        <v>20.97</v>
      </c>
      <c r="AC62" s="73">
        <v>94.105000000000004</v>
      </c>
      <c r="AD62" s="73">
        <v>49.93</v>
      </c>
      <c r="AE62" s="70">
        <v>98.9</v>
      </c>
      <c r="AF62" s="70">
        <v>101</v>
      </c>
      <c r="AG62" s="72">
        <v>0.88</v>
      </c>
    </row>
    <row r="63" spans="1:33" ht="16" x14ac:dyDescent="0.2">
      <c r="A63" s="69" t="s">
        <v>515</v>
      </c>
      <c r="B63" s="70">
        <v>18.16</v>
      </c>
      <c r="C63" s="70">
        <v>1816.1</v>
      </c>
      <c r="D63" s="71" t="s">
        <v>534</v>
      </c>
      <c r="E63" s="72">
        <v>2.62</v>
      </c>
      <c r="F63" s="70">
        <v>42.15</v>
      </c>
      <c r="G63" s="70">
        <v>3.37</v>
      </c>
      <c r="H63" s="70">
        <v>12.33</v>
      </c>
      <c r="I63" s="70">
        <v>4.93</v>
      </c>
      <c r="J63" s="70">
        <v>7.6</v>
      </c>
      <c r="K63" s="70">
        <v>12</v>
      </c>
      <c r="L63" s="70">
        <v>0.18</v>
      </c>
      <c r="M63" s="70">
        <v>10</v>
      </c>
      <c r="N63" s="70">
        <v>11.92</v>
      </c>
      <c r="O63" s="70">
        <v>4.66</v>
      </c>
      <c r="P63" s="70">
        <v>1.95</v>
      </c>
      <c r="Q63" s="70">
        <v>0.7</v>
      </c>
      <c r="R63" s="73">
        <v>0.3</v>
      </c>
      <c r="S63" s="74">
        <v>4176.3100000000004</v>
      </c>
      <c r="T63" s="70">
        <v>676.7</v>
      </c>
      <c r="U63" s="73">
        <v>6.8000000000000005E-2</v>
      </c>
      <c r="V63" s="70">
        <v>958.94</v>
      </c>
      <c r="W63" s="73">
        <v>9.6000000000000002E-2</v>
      </c>
      <c r="X63" s="70">
        <v>353.68</v>
      </c>
      <c r="Y63" s="73">
        <v>3.5000000000000003E-2</v>
      </c>
      <c r="Z63" s="73">
        <v>253.16</v>
      </c>
      <c r="AA63" s="73">
        <v>0.17599999999999999</v>
      </c>
      <c r="AB63" s="70">
        <v>417.77</v>
      </c>
      <c r="AC63" s="73">
        <v>613.24599999999998</v>
      </c>
      <c r="AD63" s="73">
        <v>226.215</v>
      </c>
      <c r="AE63" s="70">
        <v>99.8</v>
      </c>
      <c r="AF63" s="70">
        <v>100.3</v>
      </c>
      <c r="AG63" s="72">
        <v>0.88</v>
      </c>
    </row>
    <row r="64" spans="1:33" ht="16" x14ac:dyDescent="0.2">
      <c r="A64" s="69" t="s">
        <v>515</v>
      </c>
      <c r="B64" s="70">
        <v>18.170000000000002</v>
      </c>
      <c r="C64" s="70">
        <v>1817.2</v>
      </c>
      <c r="D64" s="71" t="s">
        <v>535</v>
      </c>
      <c r="E64" s="72">
        <v>9.4499999999999993</v>
      </c>
      <c r="F64" s="70">
        <v>44.55</v>
      </c>
      <c r="G64" s="70">
        <v>3.29</v>
      </c>
      <c r="H64" s="70">
        <v>11.04</v>
      </c>
      <c r="I64" s="70">
        <v>4.78</v>
      </c>
      <c r="J64" s="70">
        <v>7.7</v>
      </c>
      <c r="K64" s="70">
        <v>12</v>
      </c>
      <c r="L64" s="70">
        <v>0.12</v>
      </c>
      <c r="M64" s="70">
        <v>9.2100000000000009</v>
      </c>
      <c r="N64" s="70">
        <v>12.9</v>
      </c>
      <c r="O64" s="70">
        <v>3.43</v>
      </c>
      <c r="P64" s="70">
        <v>1.8</v>
      </c>
      <c r="Q64" s="70">
        <v>0.47</v>
      </c>
      <c r="R64" s="73">
        <v>0.78100000000000003</v>
      </c>
      <c r="S64" s="74">
        <v>9264.89</v>
      </c>
      <c r="T64" s="70">
        <v>509.4</v>
      </c>
      <c r="U64" s="73">
        <v>5.0999999999999997E-2</v>
      </c>
      <c r="V64" s="70">
        <v>1836.68</v>
      </c>
      <c r="W64" s="73">
        <v>0.184</v>
      </c>
      <c r="X64" s="70">
        <v>120.74</v>
      </c>
      <c r="Y64" s="73">
        <v>1.2E-2</v>
      </c>
      <c r="Z64" s="73">
        <v>75.489999999999995</v>
      </c>
      <c r="AA64" s="73">
        <v>2.5000000000000001E-2</v>
      </c>
      <c r="AB64" s="70">
        <v>11.37</v>
      </c>
      <c r="AC64" s="73">
        <v>71.147999999999996</v>
      </c>
      <c r="AD64" s="73">
        <v>10.420999999999999</v>
      </c>
      <c r="AE64" s="70">
        <v>99.3</v>
      </c>
      <c r="AF64" s="70">
        <v>100.5</v>
      </c>
      <c r="AG64" s="72">
        <v>0.88</v>
      </c>
    </row>
    <row r="65" spans="1:33" ht="16" x14ac:dyDescent="0.2">
      <c r="A65" s="69" t="s">
        <v>515</v>
      </c>
      <c r="B65" s="70">
        <v>18.190000000000001</v>
      </c>
      <c r="C65" s="70">
        <v>1819.1</v>
      </c>
      <c r="D65" s="71" t="s">
        <v>536</v>
      </c>
      <c r="E65" s="72">
        <v>19.86</v>
      </c>
      <c r="F65" s="70">
        <v>45.52</v>
      </c>
      <c r="G65" s="70">
        <v>2.87</v>
      </c>
      <c r="H65" s="70">
        <v>10.83</v>
      </c>
      <c r="I65" s="70">
        <v>4.59</v>
      </c>
      <c r="J65" s="70">
        <v>7.9</v>
      </c>
      <c r="K65" s="70">
        <v>12</v>
      </c>
      <c r="L65" s="70">
        <v>0.11</v>
      </c>
      <c r="M65" s="70">
        <v>10.029999999999999</v>
      </c>
      <c r="N65" s="70">
        <v>11.4</v>
      </c>
      <c r="O65" s="70">
        <v>3.45</v>
      </c>
      <c r="P65" s="70">
        <v>1.53</v>
      </c>
      <c r="Q65" s="70">
        <v>0.61</v>
      </c>
      <c r="R65" s="73">
        <v>1.2849999999999999</v>
      </c>
      <c r="S65" s="74">
        <v>7770.5</v>
      </c>
      <c r="T65" s="70">
        <v>1101.42</v>
      </c>
      <c r="U65" s="73">
        <v>0.11</v>
      </c>
      <c r="V65" s="70">
        <v>3270.95</v>
      </c>
      <c r="W65" s="73">
        <v>0.32700000000000001</v>
      </c>
      <c r="X65" s="70">
        <v>805.34</v>
      </c>
      <c r="Y65" s="73">
        <v>8.1000000000000003E-2</v>
      </c>
      <c r="Z65" s="73">
        <v>344.04</v>
      </c>
      <c r="AA65" s="73">
        <v>4.3999999999999997E-2</v>
      </c>
      <c r="AB65" s="70">
        <v>24.99</v>
      </c>
      <c r="AC65" s="73">
        <v>94.506</v>
      </c>
      <c r="AD65" s="73">
        <v>75.811000000000007</v>
      </c>
      <c r="AE65" s="70">
        <v>98.8</v>
      </c>
      <c r="AF65" s="70">
        <v>101.1</v>
      </c>
      <c r="AG65" s="72">
        <v>0.88</v>
      </c>
    </row>
    <row r="66" spans="1:33" ht="16" x14ac:dyDescent="0.2">
      <c r="A66" s="69" t="s">
        <v>515</v>
      </c>
      <c r="B66" s="70">
        <v>18.21</v>
      </c>
      <c r="C66" s="70">
        <v>1821.1</v>
      </c>
      <c r="D66" s="71" t="s">
        <v>537</v>
      </c>
      <c r="E66" s="72">
        <v>5.86</v>
      </c>
      <c r="F66" s="70">
        <v>42.68</v>
      </c>
      <c r="G66" s="70">
        <v>3.53</v>
      </c>
      <c r="H66" s="70">
        <v>11.77</v>
      </c>
      <c r="I66" s="70">
        <v>5.0199999999999996</v>
      </c>
      <c r="J66" s="70">
        <v>7.5</v>
      </c>
      <c r="K66" s="70">
        <v>12</v>
      </c>
      <c r="L66" s="70">
        <v>0.16</v>
      </c>
      <c r="M66" s="70">
        <v>7.57</v>
      </c>
      <c r="N66" s="70">
        <v>14.35</v>
      </c>
      <c r="O66" s="70">
        <v>3.95</v>
      </c>
      <c r="P66" s="70">
        <v>1.66</v>
      </c>
      <c r="Q66" s="70">
        <v>0.76</v>
      </c>
      <c r="R66" s="73">
        <v>1.083</v>
      </c>
      <c r="S66" s="74">
        <v>7739</v>
      </c>
      <c r="T66" s="70">
        <v>988.25</v>
      </c>
      <c r="U66" s="73">
        <v>9.9000000000000005E-2</v>
      </c>
      <c r="V66" s="70">
        <v>2743.89</v>
      </c>
      <c r="W66" s="73">
        <v>0.27400000000000002</v>
      </c>
      <c r="X66" s="70">
        <v>497.73</v>
      </c>
      <c r="Y66" s="73">
        <v>0.05</v>
      </c>
      <c r="Z66" s="73">
        <v>304.17500000000001</v>
      </c>
      <c r="AA66" s="73">
        <v>6.3E-2</v>
      </c>
      <c r="AB66" s="70">
        <v>72.2</v>
      </c>
      <c r="AC66" s="73">
        <v>137.40799999999999</v>
      </c>
      <c r="AD66" s="73">
        <v>48.037999999999997</v>
      </c>
      <c r="AE66" s="70">
        <v>99</v>
      </c>
      <c r="AF66" s="70">
        <v>100.9</v>
      </c>
      <c r="AG66" s="72">
        <v>1</v>
      </c>
    </row>
    <row r="67" spans="1:33" ht="16" x14ac:dyDescent="0.2">
      <c r="A67" s="69" t="s">
        <v>515</v>
      </c>
      <c r="B67" s="70">
        <v>18.22</v>
      </c>
      <c r="C67" s="70">
        <v>1822.1</v>
      </c>
      <c r="D67" s="71" t="s">
        <v>538</v>
      </c>
      <c r="E67" s="72">
        <v>7.44</v>
      </c>
      <c r="F67" s="70">
        <v>44.47</v>
      </c>
      <c r="G67" s="70">
        <v>2.71</v>
      </c>
      <c r="H67" s="70">
        <v>11.38</v>
      </c>
      <c r="I67" s="70">
        <v>4.79</v>
      </c>
      <c r="J67" s="70">
        <v>7.7</v>
      </c>
      <c r="K67" s="70">
        <v>12</v>
      </c>
      <c r="L67" s="70">
        <v>0.14000000000000001</v>
      </c>
      <c r="M67" s="70">
        <v>7.84</v>
      </c>
      <c r="N67" s="70">
        <v>13.79</v>
      </c>
      <c r="O67" s="70">
        <v>3.37</v>
      </c>
      <c r="P67" s="70">
        <v>1.5</v>
      </c>
      <c r="Q67" s="70">
        <v>0.6</v>
      </c>
      <c r="R67" s="73">
        <v>1.7929999999999999</v>
      </c>
      <c r="S67" s="74">
        <v>16564.87</v>
      </c>
      <c r="T67" s="70">
        <v>1528.11</v>
      </c>
      <c r="U67" s="73">
        <v>0.153</v>
      </c>
      <c r="V67" s="70">
        <v>4207.21</v>
      </c>
      <c r="W67" s="73">
        <v>0.42099999999999999</v>
      </c>
      <c r="X67" s="70">
        <v>708.99</v>
      </c>
      <c r="Y67" s="73">
        <v>7.0999999999999994E-2</v>
      </c>
      <c r="Z67" s="73">
        <v>520.43399999999997</v>
      </c>
      <c r="AA67" s="73">
        <v>0.14399999999999999</v>
      </c>
      <c r="AB67" s="70">
        <v>71.53</v>
      </c>
      <c r="AC67" s="73">
        <v>154.94399999999999</v>
      </c>
      <c r="AD67" s="73">
        <v>68.209999999999994</v>
      </c>
      <c r="AE67" s="70">
        <v>98.3</v>
      </c>
      <c r="AF67" s="70">
        <v>101.5</v>
      </c>
      <c r="AG67" s="72">
        <v>0.61</v>
      </c>
    </row>
    <row r="68" spans="1:33" ht="16" x14ac:dyDescent="0.2">
      <c r="A68" s="69" t="s">
        <v>515</v>
      </c>
      <c r="B68" s="70">
        <v>18.29</v>
      </c>
      <c r="C68" s="70">
        <v>1829.1</v>
      </c>
      <c r="D68" s="71" t="s">
        <v>539</v>
      </c>
      <c r="E68" s="72">
        <v>22.94</v>
      </c>
      <c r="F68" s="70">
        <v>45.67</v>
      </c>
      <c r="G68" s="70">
        <v>2.8</v>
      </c>
      <c r="H68" s="70">
        <v>11.7</v>
      </c>
      <c r="I68" s="70">
        <v>4.49</v>
      </c>
      <c r="J68" s="70">
        <v>8</v>
      </c>
      <c r="K68" s="70">
        <v>12</v>
      </c>
      <c r="L68" s="70">
        <v>0.08</v>
      </c>
      <c r="M68" s="70">
        <v>10.16</v>
      </c>
      <c r="N68" s="70">
        <v>9.9499999999999993</v>
      </c>
      <c r="O68" s="70">
        <v>3.91</v>
      </c>
      <c r="P68" s="70">
        <v>1.66</v>
      </c>
      <c r="Q68" s="70">
        <v>0.63</v>
      </c>
      <c r="R68" s="73">
        <v>1.069</v>
      </c>
      <c r="S68" s="74">
        <v>16825.259999999998</v>
      </c>
      <c r="T68" s="70">
        <v>959.73</v>
      </c>
      <c r="U68" s="73">
        <v>9.6000000000000002E-2</v>
      </c>
      <c r="V68" s="70">
        <v>3487.03</v>
      </c>
      <c r="W68" s="73">
        <v>0.34899999999999998</v>
      </c>
      <c r="X68" s="70">
        <v>917.51</v>
      </c>
      <c r="Y68" s="73">
        <v>9.1999999999999998E-2</v>
      </c>
      <c r="Z68" s="73">
        <v>320.839</v>
      </c>
      <c r="AA68" s="73">
        <v>5.8999999999999997E-2</v>
      </c>
      <c r="AB68" s="70">
        <v>54.71</v>
      </c>
      <c r="AC68" s="73">
        <v>185.84</v>
      </c>
      <c r="AD68" s="73">
        <v>90.600999999999999</v>
      </c>
      <c r="AE68" s="70">
        <v>99</v>
      </c>
      <c r="AF68" s="70">
        <v>101</v>
      </c>
      <c r="AG68" s="72">
        <v>0.88</v>
      </c>
    </row>
    <row r="69" spans="1:33" ht="16" x14ac:dyDescent="0.2">
      <c r="A69" s="69" t="s">
        <v>515</v>
      </c>
      <c r="B69" s="70">
        <v>18.32</v>
      </c>
      <c r="C69" s="70">
        <v>1832.1</v>
      </c>
      <c r="D69" s="71" t="s">
        <v>540</v>
      </c>
      <c r="E69" s="72">
        <v>15.48</v>
      </c>
      <c r="F69" s="70">
        <v>44.83</v>
      </c>
      <c r="G69" s="70">
        <v>2.97</v>
      </c>
      <c r="H69" s="70">
        <v>11.06</v>
      </c>
      <c r="I69" s="70">
        <v>4.66</v>
      </c>
      <c r="J69" s="70">
        <v>7.8</v>
      </c>
      <c r="K69" s="70">
        <v>12</v>
      </c>
      <c r="L69" s="70">
        <v>0.08</v>
      </c>
      <c r="M69" s="70">
        <v>9.84</v>
      </c>
      <c r="N69" s="70">
        <v>12.4</v>
      </c>
      <c r="O69" s="70">
        <v>3.4</v>
      </c>
      <c r="P69" s="70">
        <v>1.4</v>
      </c>
      <c r="Q69" s="70">
        <v>0.45</v>
      </c>
      <c r="R69" s="73">
        <v>1.1739999999999999</v>
      </c>
      <c r="S69" s="74">
        <v>10371.51</v>
      </c>
      <c r="T69" s="70">
        <v>644.20000000000005</v>
      </c>
      <c r="U69" s="73">
        <v>6.4000000000000001E-2</v>
      </c>
      <c r="V69" s="70">
        <v>1877.37</v>
      </c>
      <c r="W69" s="73">
        <v>0.188</v>
      </c>
      <c r="X69" s="70">
        <v>288.49</v>
      </c>
      <c r="Y69" s="73">
        <v>2.9000000000000001E-2</v>
      </c>
      <c r="Z69" s="73">
        <v>93.227000000000004</v>
      </c>
      <c r="AA69" s="73">
        <v>4.3999999999999997E-2</v>
      </c>
      <c r="AB69" s="70">
        <v>17.09</v>
      </c>
      <c r="AC69" s="73">
        <v>60.116999999999997</v>
      </c>
      <c r="AD69" s="73">
        <v>26.515999999999998</v>
      </c>
      <c r="AE69" s="70">
        <v>98.9</v>
      </c>
      <c r="AF69" s="70">
        <v>100.5</v>
      </c>
      <c r="AG69" s="72">
        <v>0.88</v>
      </c>
    </row>
    <row r="70" spans="1:33" s="63" customFormat="1" ht="16" x14ac:dyDescent="0.2">
      <c r="A70" s="82" t="s">
        <v>515</v>
      </c>
      <c r="B70" s="83">
        <v>18.34</v>
      </c>
      <c r="C70" s="83">
        <v>1834.1</v>
      </c>
      <c r="D70" s="84" t="s">
        <v>541</v>
      </c>
      <c r="E70" s="85">
        <v>14.45</v>
      </c>
      <c r="F70" s="83">
        <v>45.68</v>
      </c>
      <c r="G70" s="83">
        <v>2.86</v>
      </c>
      <c r="H70" s="83">
        <v>10.97</v>
      </c>
      <c r="I70" s="83">
        <v>4.79</v>
      </c>
      <c r="J70" s="83">
        <v>7.7</v>
      </c>
      <c r="K70" s="83">
        <v>12</v>
      </c>
      <c r="L70" s="83">
        <v>0.12</v>
      </c>
      <c r="M70" s="83">
        <v>9.1</v>
      </c>
      <c r="N70" s="83">
        <v>11.81</v>
      </c>
      <c r="O70" s="83">
        <v>4.2300000000000004</v>
      </c>
      <c r="P70" s="83">
        <v>1.56</v>
      </c>
      <c r="Q70" s="83">
        <v>0.8</v>
      </c>
      <c r="R70" s="86">
        <v>0.44500000000000001</v>
      </c>
      <c r="S70" s="87">
        <v>14608.69</v>
      </c>
      <c r="T70" s="83">
        <v>349.59</v>
      </c>
      <c r="U70" s="86">
        <v>3.5000000000000003E-2</v>
      </c>
      <c r="V70" s="83">
        <v>1190.27</v>
      </c>
      <c r="W70" s="86">
        <v>0.11899999999999999</v>
      </c>
      <c r="X70" s="83">
        <v>225.13</v>
      </c>
      <c r="Y70" s="86">
        <v>2.3E-2</v>
      </c>
      <c r="Z70" s="86">
        <v>180.73400000000001</v>
      </c>
      <c r="AA70" s="86">
        <v>0.03</v>
      </c>
      <c r="AB70" s="83">
        <v>21.78</v>
      </c>
      <c r="AC70" s="86">
        <v>90.424000000000007</v>
      </c>
      <c r="AD70" s="86">
        <v>30.623999999999999</v>
      </c>
      <c r="AE70" s="83">
        <v>99.6</v>
      </c>
      <c r="AF70" s="83">
        <v>100.5</v>
      </c>
      <c r="AG70" s="85">
        <v>0.88</v>
      </c>
    </row>
    <row r="71" spans="1:33" ht="16" x14ac:dyDescent="0.2">
      <c r="A71" s="69" t="s">
        <v>542</v>
      </c>
      <c r="B71" s="70">
        <v>19.149999999999999</v>
      </c>
      <c r="C71" s="70">
        <v>1915.1</v>
      </c>
      <c r="D71" s="71" t="s">
        <v>543</v>
      </c>
      <c r="E71" s="72">
        <v>17.13</v>
      </c>
      <c r="F71" s="70">
        <v>44.85</v>
      </c>
      <c r="G71" s="70">
        <v>3.2</v>
      </c>
      <c r="H71" s="70">
        <v>12.38</v>
      </c>
      <c r="I71" s="70">
        <v>4.42</v>
      </c>
      <c r="J71" s="70">
        <v>8</v>
      </c>
      <c r="K71" s="70">
        <v>12</v>
      </c>
      <c r="L71" s="70">
        <v>0.06</v>
      </c>
      <c r="M71" s="70">
        <v>9.66</v>
      </c>
      <c r="N71" s="70">
        <v>11.23</v>
      </c>
      <c r="O71" s="70">
        <v>3.35</v>
      </c>
      <c r="P71" s="70">
        <v>1.51</v>
      </c>
      <c r="Q71" s="70">
        <v>0.38</v>
      </c>
      <c r="R71" s="73">
        <v>1.0009999999999999</v>
      </c>
      <c r="S71" s="74">
        <v>7410.9</v>
      </c>
      <c r="T71" s="70">
        <v>1269.32</v>
      </c>
      <c r="U71" s="73">
        <v>0.127</v>
      </c>
      <c r="V71" s="70">
        <v>2289.6999999999998</v>
      </c>
      <c r="W71" s="73">
        <v>0.22900000000000001</v>
      </c>
      <c r="X71" s="70">
        <v>624.19000000000005</v>
      </c>
      <c r="Y71" s="73">
        <v>6.2E-2</v>
      </c>
      <c r="Z71" s="73">
        <v>315.86099999999999</v>
      </c>
      <c r="AA71" s="73">
        <v>6.3E-2</v>
      </c>
      <c r="AB71" s="70">
        <v>66.91</v>
      </c>
      <c r="AC71" s="73">
        <v>86.400999999999996</v>
      </c>
      <c r="AD71" s="73">
        <v>66.495000000000005</v>
      </c>
      <c r="AE71" s="70">
        <v>99.1</v>
      </c>
      <c r="AF71" s="70">
        <v>101</v>
      </c>
      <c r="AG71" s="72">
        <v>-0.05</v>
      </c>
    </row>
    <row r="72" spans="1:33" ht="16" x14ac:dyDescent="0.2">
      <c r="A72" s="69" t="s">
        <v>542</v>
      </c>
      <c r="B72" s="70">
        <v>19.18</v>
      </c>
      <c r="C72" s="70">
        <v>1918.3</v>
      </c>
      <c r="D72" s="71" t="s">
        <v>544</v>
      </c>
      <c r="E72" s="72">
        <v>19.079999999999998</v>
      </c>
      <c r="F72" s="70">
        <v>42.7</v>
      </c>
      <c r="G72" s="70">
        <v>4.97</v>
      </c>
      <c r="H72" s="70">
        <v>12.14</v>
      </c>
      <c r="I72" s="70">
        <v>4.33</v>
      </c>
      <c r="J72" s="70">
        <v>8.1</v>
      </c>
      <c r="K72" s="70">
        <v>12</v>
      </c>
      <c r="L72" s="70">
        <v>0.12</v>
      </c>
      <c r="M72" s="70">
        <v>10.93</v>
      </c>
      <c r="N72" s="70">
        <v>10.46</v>
      </c>
      <c r="O72" s="70">
        <v>2.65</v>
      </c>
      <c r="P72" s="70">
        <v>2.1</v>
      </c>
      <c r="Q72" s="70">
        <v>0.3</v>
      </c>
      <c r="R72" s="73">
        <v>1.2969999999999999</v>
      </c>
      <c r="S72" s="74">
        <v>14629.16</v>
      </c>
      <c r="T72" s="70">
        <v>1189.71</v>
      </c>
      <c r="U72" s="73">
        <v>0.11899999999999999</v>
      </c>
      <c r="V72" s="70">
        <v>3326.94</v>
      </c>
      <c r="W72" s="73">
        <v>0.33300000000000002</v>
      </c>
      <c r="X72" s="70">
        <v>541.33000000000004</v>
      </c>
      <c r="Y72" s="73">
        <v>5.3999999999999999E-2</v>
      </c>
      <c r="Z72" s="73">
        <v>347.303</v>
      </c>
      <c r="AA72" s="73">
        <v>5.8999999999999997E-2</v>
      </c>
      <c r="AB72" s="70">
        <v>46.7</v>
      </c>
      <c r="AC72" s="73">
        <v>125.961</v>
      </c>
      <c r="AD72" s="73">
        <v>53.325000000000003</v>
      </c>
      <c r="AE72" s="70">
        <v>98.8</v>
      </c>
      <c r="AF72" s="70">
        <v>101.1</v>
      </c>
      <c r="AG72" s="72">
        <v>-0.05</v>
      </c>
    </row>
    <row r="73" spans="1:33" ht="16" x14ac:dyDescent="0.2">
      <c r="A73" s="69" t="s">
        <v>542</v>
      </c>
      <c r="B73" s="70">
        <v>19.190000000000001</v>
      </c>
      <c r="C73" s="70">
        <v>1919.1</v>
      </c>
      <c r="D73" s="71" t="s">
        <v>545</v>
      </c>
      <c r="E73" s="72">
        <v>8.7799999999999994</v>
      </c>
      <c r="F73" s="70">
        <v>43.3</v>
      </c>
      <c r="G73" s="70">
        <v>4.01</v>
      </c>
      <c r="H73" s="70">
        <v>13.12</v>
      </c>
      <c r="I73" s="70">
        <v>4.42</v>
      </c>
      <c r="J73" s="70">
        <v>8</v>
      </c>
      <c r="K73" s="70">
        <v>12</v>
      </c>
      <c r="L73" s="70">
        <v>0.11</v>
      </c>
      <c r="M73" s="70">
        <v>7.39</v>
      </c>
      <c r="N73" s="70">
        <v>12.76</v>
      </c>
      <c r="O73" s="70">
        <v>2.77</v>
      </c>
      <c r="P73" s="70">
        <v>1.77</v>
      </c>
      <c r="Q73" s="70">
        <v>0.68</v>
      </c>
      <c r="R73" s="73">
        <v>1.7210000000000001</v>
      </c>
      <c r="S73" s="74">
        <v>7694.16</v>
      </c>
      <c r="T73" s="70">
        <v>1624.41</v>
      </c>
      <c r="U73" s="73">
        <v>0.16200000000000001</v>
      </c>
      <c r="V73" s="70">
        <v>3714.67</v>
      </c>
      <c r="W73" s="73">
        <v>0.371</v>
      </c>
      <c r="X73" s="70">
        <v>1065.22</v>
      </c>
      <c r="Y73" s="73">
        <v>0.107</v>
      </c>
      <c r="Z73" s="73">
        <v>399.8</v>
      </c>
      <c r="AA73" s="73">
        <v>7.8E-2</v>
      </c>
      <c r="AB73" s="70">
        <v>37.24</v>
      </c>
      <c r="AC73" s="73">
        <v>114.001</v>
      </c>
      <c r="AD73" s="73">
        <v>93.623000000000005</v>
      </c>
      <c r="AE73" s="70">
        <v>98.4</v>
      </c>
      <c r="AF73" s="70">
        <v>101.4</v>
      </c>
      <c r="AG73" s="72">
        <v>-0.05</v>
      </c>
    </row>
    <row r="74" spans="1:33" ht="16" x14ac:dyDescent="0.2">
      <c r="A74" s="69" t="s">
        <v>542</v>
      </c>
      <c r="B74" s="70">
        <v>19.25</v>
      </c>
      <c r="C74" s="70">
        <v>1925.2</v>
      </c>
      <c r="D74" s="71" t="s">
        <v>546</v>
      </c>
      <c r="E74" s="72">
        <v>16.43</v>
      </c>
      <c r="F74" s="70">
        <v>43.34</v>
      </c>
      <c r="G74" s="70">
        <v>3.51</v>
      </c>
      <c r="H74" s="70">
        <v>11.31</v>
      </c>
      <c r="I74" s="70">
        <v>4.5599999999999996</v>
      </c>
      <c r="J74" s="70">
        <v>7.9</v>
      </c>
      <c r="K74" s="70">
        <v>12</v>
      </c>
      <c r="L74" s="70">
        <v>0.1</v>
      </c>
      <c r="M74" s="70">
        <v>10.65</v>
      </c>
      <c r="N74" s="70">
        <v>11.9</v>
      </c>
      <c r="O74" s="70">
        <v>2.96</v>
      </c>
      <c r="P74" s="70">
        <v>1.72</v>
      </c>
      <c r="Q74" s="70">
        <v>0.54</v>
      </c>
      <c r="R74" s="73">
        <v>1.6020000000000001</v>
      </c>
      <c r="S74" s="74">
        <v>18917.41</v>
      </c>
      <c r="T74" s="70">
        <v>1528.54</v>
      </c>
      <c r="U74" s="73">
        <v>0.153</v>
      </c>
      <c r="V74" s="70">
        <v>3540.76</v>
      </c>
      <c r="W74" s="73">
        <v>0.35399999999999998</v>
      </c>
      <c r="X74" s="70">
        <v>928.18</v>
      </c>
      <c r="Y74" s="73">
        <v>9.2999999999999999E-2</v>
      </c>
      <c r="Z74" s="73">
        <v>1399.6369999999999</v>
      </c>
      <c r="AA74" s="73">
        <v>0.113</v>
      </c>
      <c r="AB74" s="70">
        <v>90.6</v>
      </c>
      <c r="AC74" s="73">
        <v>162.12100000000001</v>
      </c>
      <c r="AD74" s="73">
        <v>87.66</v>
      </c>
      <c r="AE74" s="70">
        <v>98.5</v>
      </c>
      <c r="AF74" s="70">
        <v>102</v>
      </c>
      <c r="AG74" s="72">
        <v>-0.05</v>
      </c>
    </row>
    <row r="75" spans="1:33" ht="16" x14ac:dyDescent="0.2">
      <c r="A75" s="69" t="s">
        <v>542</v>
      </c>
      <c r="B75" s="70">
        <v>19.3</v>
      </c>
      <c r="C75" s="70">
        <v>1930.1</v>
      </c>
      <c r="D75" s="71" t="s">
        <v>547</v>
      </c>
      <c r="E75" s="72">
        <v>-3.54</v>
      </c>
      <c r="F75" s="70">
        <v>42.14</v>
      </c>
      <c r="G75" s="70">
        <v>3.55</v>
      </c>
      <c r="H75" s="70">
        <v>13.21</v>
      </c>
      <c r="I75" s="70">
        <v>4.71</v>
      </c>
      <c r="J75" s="70">
        <v>7.8</v>
      </c>
      <c r="K75" s="70">
        <v>12</v>
      </c>
      <c r="L75" s="70">
        <v>0.16</v>
      </c>
      <c r="M75" s="70">
        <v>8.33</v>
      </c>
      <c r="N75" s="70">
        <v>13.17</v>
      </c>
      <c r="O75" s="70">
        <v>3.64</v>
      </c>
      <c r="P75" s="70">
        <v>1.8</v>
      </c>
      <c r="Q75" s="70">
        <v>0.57999999999999996</v>
      </c>
      <c r="R75" s="73">
        <v>1.02</v>
      </c>
      <c r="S75" s="74">
        <v>11903.07</v>
      </c>
      <c r="T75" s="70">
        <v>1021.71</v>
      </c>
      <c r="U75" s="73">
        <v>0.10199999999999999</v>
      </c>
      <c r="V75" s="70">
        <v>2976.93</v>
      </c>
      <c r="W75" s="73">
        <v>0.29799999999999999</v>
      </c>
      <c r="X75" s="70">
        <v>635.55999999999995</v>
      </c>
      <c r="Y75" s="73">
        <v>6.4000000000000001E-2</v>
      </c>
      <c r="Z75" s="73">
        <v>1119.077</v>
      </c>
      <c r="AA75" s="73">
        <v>6.6000000000000003E-2</v>
      </c>
      <c r="AB75" s="70">
        <v>76.8</v>
      </c>
      <c r="AC75" s="73">
        <v>225.40899999999999</v>
      </c>
      <c r="AD75" s="73">
        <v>60.088999999999999</v>
      </c>
      <c r="AE75" s="70">
        <v>99.1</v>
      </c>
      <c r="AF75" s="70">
        <v>101.8</v>
      </c>
      <c r="AG75" s="72">
        <v>-0.05</v>
      </c>
    </row>
    <row r="76" spans="1:33" ht="16" x14ac:dyDescent="0.2">
      <c r="A76" s="69" t="s">
        <v>542</v>
      </c>
      <c r="B76" s="70">
        <v>19.309999999999999</v>
      </c>
      <c r="C76" s="70">
        <v>1931.1</v>
      </c>
      <c r="D76" s="71" t="s">
        <v>548</v>
      </c>
      <c r="E76" s="72">
        <v>-1.41</v>
      </c>
      <c r="F76" s="70">
        <v>40.19</v>
      </c>
      <c r="G76" s="70">
        <v>4.18</v>
      </c>
      <c r="H76" s="70">
        <v>13.2</v>
      </c>
      <c r="I76" s="70">
        <v>4.67</v>
      </c>
      <c r="J76" s="70">
        <v>7.8</v>
      </c>
      <c r="K76" s="70">
        <v>12</v>
      </c>
      <c r="L76" s="70">
        <v>0.14000000000000001</v>
      </c>
      <c r="M76" s="70">
        <v>10.33</v>
      </c>
      <c r="N76" s="70">
        <v>12.69</v>
      </c>
      <c r="O76" s="70">
        <v>3.53</v>
      </c>
      <c r="P76" s="70">
        <v>1.77</v>
      </c>
      <c r="Q76" s="70">
        <v>0.66</v>
      </c>
      <c r="R76" s="73">
        <v>0.93100000000000005</v>
      </c>
      <c r="S76" s="74">
        <v>15150.37</v>
      </c>
      <c r="T76" s="70">
        <v>1120.82</v>
      </c>
      <c r="U76" s="73">
        <v>0.112</v>
      </c>
      <c r="V76" s="70">
        <v>3328.83</v>
      </c>
      <c r="W76" s="73">
        <v>0.33300000000000002</v>
      </c>
      <c r="X76" s="70">
        <v>783.23</v>
      </c>
      <c r="Y76" s="73">
        <v>7.8E-2</v>
      </c>
      <c r="Z76" s="73">
        <v>2320.2620000000002</v>
      </c>
      <c r="AA76" s="73">
        <v>0.26400000000000001</v>
      </c>
      <c r="AB76" s="70">
        <v>368.67</v>
      </c>
      <c r="AC76" s="73">
        <v>1014.467</v>
      </c>
      <c r="AD76" s="73">
        <v>242.97</v>
      </c>
      <c r="AE76" s="70">
        <v>99.2</v>
      </c>
      <c r="AF76" s="70">
        <v>101.2</v>
      </c>
      <c r="AG76" s="72">
        <v>-0.05</v>
      </c>
    </row>
    <row r="77" spans="1:33" ht="16" x14ac:dyDescent="0.2">
      <c r="A77" s="69" t="s">
        <v>542</v>
      </c>
      <c r="B77" s="70">
        <v>19.329999999999998</v>
      </c>
      <c r="C77" s="70">
        <v>1933.2</v>
      </c>
      <c r="D77" s="71" t="s">
        <v>549</v>
      </c>
      <c r="E77" s="72">
        <v>18.14</v>
      </c>
      <c r="F77" s="70">
        <v>43.63</v>
      </c>
      <c r="G77" s="70">
        <v>3.68</v>
      </c>
      <c r="H77" s="70">
        <v>12.5</v>
      </c>
      <c r="I77" s="70">
        <v>4.33</v>
      </c>
      <c r="J77" s="70">
        <v>8.1</v>
      </c>
      <c r="K77" s="70">
        <v>12</v>
      </c>
      <c r="L77" s="70">
        <v>0.08</v>
      </c>
      <c r="M77" s="70">
        <v>10.72</v>
      </c>
      <c r="N77" s="70">
        <v>10.57</v>
      </c>
      <c r="O77" s="70">
        <v>3.04</v>
      </c>
      <c r="P77" s="70">
        <v>1.66</v>
      </c>
      <c r="Q77" s="70">
        <v>0.67</v>
      </c>
      <c r="R77" s="73">
        <v>1.083</v>
      </c>
      <c r="S77" s="74">
        <v>5422.47</v>
      </c>
      <c r="T77" s="70">
        <v>1008.36</v>
      </c>
      <c r="U77" s="73">
        <v>0.10100000000000001</v>
      </c>
      <c r="V77" s="70">
        <v>2441.69</v>
      </c>
      <c r="W77" s="73">
        <v>0.24399999999999999</v>
      </c>
      <c r="X77" s="70">
        <v>684.7</v>
      </c>
      <c r="Y77" s="73">
        <v>6.8000000000000005E-2</v>
      </c>
      <c r="Z77" s="73">
        <v>357.11</v>
      </c>
      <c r="AA77" s="73">
        <v>5.3999999999999999E-2</v>
      </c>
      <c r="AB77" s="70">
        <v>72.58</v>
      </c>
      <c r="AC77" s="73">
        <v>169.047</v>
      </c>
      <c r="AD77" s="73">
        <v>71.777000000000001</v>
      </c>
      <c r="AE77" s="70">
        <v>99</v>
      </c>
      <c r="AF77" s="70">
        <v>100.9</v>
      </c>
      <c r="AG77" s="72">
        <v>-0.05</v>
      </c>
    </row>
    <row r="78" spans="1:33" ht="16" x14ac:dyDescent="0.2">
      <c r="A78" s="69" t="s">
        <v>542</v>
      </c>
      <c r="B78" s="70">
        <v>19.8</v>
      </c>
      <c r="C78" s="70">
        <v>1908.2</v>
      </c>
      <c r="D78" s="71" t="s">
        <v>550</v>
      </c>
      <c r="E78" s="72">
        <v>14.74</v>
      </c>
      <c r="F78" s="70">
        <v>41.8</v>
      </c>
      <c r="G78" s="70">
        <v>3.76</v>
      </c>
      <c r="H78" s="70">
        <v>12.63</v>
      </c>
      <c r="I78" s="70">
        <v>4.46</v>
      </c>
      <c r="J78" s="70">
        <v>8</v>
      </c>
      <c r="K78" s="70">
        <v>12</v>
      </c>
      <c r="L78" s="70">
        <v>0.1</v>
      </c>
      <c r="M78" s="70">
        <v>8.81</v>
      </c>
      <c r="N78" s="70">
        <v>12.29</v>
      </c>
      <c r="O78" s="70">
        <v>2.78</v>
      </c>
      <c r="P78" s="70">
        <v>1.7</v>
      </c>
      <c r="Q78" s="70">
        <v>0.43</v>
      </c>
      <c r="R78" s="73">
        <v>0.99</v>
      </c>
      <c r="S78" s="74">
        <v>11848.01</v>
      </c>
      <c r="T78" s="70">
        <v>1373.66</v>
      </c>
      <c r="U78" s="73">
        <v>0.13700000000000001</v>
      </c>
      <c r="V78" s="70">
        <v>2203.1</v>
      </c>
      <c r="W78" s="73">
        <v>0.22</v>
      </c>
      <c r="X78" s="70">
        <v>596.27</v>
      </c>
      <c r="Y78" s="73">
        <v>0.06</v>
      </c>
      <c r="Z78" s="73">
        <v>474.85399999999998</v>
      </c>
      <c r="AA78" s="73">
        <v>0.03</v>
      </c>
      <c r="AB78" s="70">
        <v>37.950000000000003</v>
      </c>
      <c r="AC78" s="73">
        <v>53.936999999999998</v>
      </c>
      <c r="AD78" s="73">
        <v>47.618000000000002</v>
      </c>
      <c r="AE78" s="70">
        <v>96.8</v>
      </c>
      <c r="AF78" s="70">
        <v>99</v>
      </c>
      <c r="AG78" s="72">
        <v>-0.05</v>
      </c>
    </row>
    <row r="79" spans="1:33" s="65" customFormat="1" ht="16" x14ac:dyDescent="0.2">
      <c r="A79" s="64" t="s">
        <v>650</v>
      </c>
      <c r="B79" s="64"/>
      <c r="C79" s="64"/>
      <c r="D79" s="64"/>
      <c r="E79" s="64"/>
      <c r="F79" s="64">
        <f>AVERAGE(F50,F55,F56,F60,F61)</f>
        <v>42.402000000000001</v>
      </c>
      <c r="G79" s="64">
        <f t="shared" ref="G79:S79" si="0">AVERAGE(G50,G55,G56,G60,G61)</f>
        <v>3.2560000000000002</v>
      </c>
      <c r="H79" s="64">
        <f t="shared" si="0"/>
        <v>11.173999999999999</v>
      </c>
      <c r="I79" s="64">
        <f t="shared" si="0"/>
        <v>4.8100000000000005</v>
      </c>
      <c r="J79" s="64">
        <f t="shared" si="0"/>
        <v>7.7</v>
      </c>
      <c r="K79" s="64">
        <f t="shared" si="0"/>
        <v>12</v>
      </c>
      <c r="L79" s="64">
        <f t="shared" si="0"/>
        <v>0.14200000000000002</v>
      </c>
      <c r="M79" s="64">
        <f t="shared" si="0"/>
        <v>9.5500000000000007</v>
      </c>
      <c r="N79" s="64">
        <f t="shared" si="0"/>
        <v>13.312000000000001</v>
      </c>
      <c r="O79" s="64">
        <f t="shared" si="0"/>
        <v>3.3560000000000003</v>
      </c>
      <c r="P79" s="64">
        <f t="shared" si="0"/>
        <v>1.57</v>
      </c>
      <c r="Q79" s="64">
        <f t="shared" si="0"/>
        <v>0.748</v>
      </c>
      <c r="R79" s="64">
        <f t="shared" si="0"/>
        <v>2.1054000000000004</v>
      </c>
      <c r="S79" s="64">
        <f t="shared" si="0"/>
        <v>11515.398000000001</v>
      </c>
      <c r="T79" s="64"/>
      <c r="U79" s="64"/>
      <c r="V79" s="64"/>
      <c r="W79" s="64"/>
      <c r="X79" s="64"/>
      <c r="Y79" s="64"/>
      <c r="Z79" s="64"/>
      <c r="AA79" s="64"/>
      <c r="AB79" s="64"/>
      <c r="AC79" s="64"/>
      <c r="AD79" s="64"/>
      <c r="AE79" s="64"/>
      <c r="AF79" s="64"/>
      <c r="AG79" s="64"/>
    </row>
    <row r="80" spans="1:33" ht="1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1:33" ht="1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1:33" ht="1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1:33" ht="1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1:33" ht="1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1:33" ht="1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1:33" ht="1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1:33" ht="1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1:33" ht="1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1:33" ht="1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1:33" ht="1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ht="1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ht="1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ht="1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ht="1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ht="1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ht="1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ht="1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ht="1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ht="1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ht="1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ht="1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ht="1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ht="1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1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ht="1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ht="1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ht="1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ht="1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ht="1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1:33" ht="1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1:33" ht="1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1:33" ht="1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1:33" ht="1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1:33" ht="1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1:33" ht="1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1:33" ht="1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1:33" ht="1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1:33" ht="1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1:33" ht="1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1:33" ht="1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1:33" ht="1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1:33" ht="1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1:33" ht="1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1:33" ht="1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1:33" ht="1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1:33" ht="1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1:33" ht="1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1:33" ht="1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1:33" ht="1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1:33" ht="1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1:33" ht="1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1:33" ht="1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1:33" ht="1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1:33" ht="1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1:33" ht="1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1:33" ht="1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1:33" ht="1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1:33" ht="1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1:33" ht="1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1:33" ht="1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1:33" ht="1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Kīlauea_data</vt:lpstr>
      <vt:lpstr>Ulu_data</vt:lpstr>
      <vt:lpstr>Lerner_Kil_data</vt:lpstr>
      <vt:lpstr>MORB_data</vt:lpstr>
      <vt:lpstr>Fuego_data</vt:lpstr>
      <vt:lpstr>Fogo_data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Penny Wieser</dc:creator>
  <cp:lastModifiedBy>Kayla Iacovino</cp:lastModifiedBy>
  <dcterms:created xsi:type="dcterms:W3CDTF">2025-03-18T16:43:03Z</dcterms:created>
  <dcterms:modified xsi:type="dcterms:W3CDTF">2026-07-02T21:26:11Z</dcterms:modified>
</cp:coreProperties>
</file>